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akym_xg1tqji\Documents\Path to Data Analyst\Excel\Temu Data - Excel Data Analysis\HoP Dataset\"/>
    </mc:Choice>
  </mc:AlternateContent>
  <xr:revisionPtr revIDLastSave="0" documentId="13_ncr:1_{A50C83DA-2AB7-4BBB-86D5-FDB8769A2A4B}" xr6:coauthVersionLast="47" xr6:coauthVersionMax="47" xr10:uidLastSave="{00000000-0000-0000-0000-000000000000}"/>
  <bookViews>
    <workbookView xWindow="-110" yWindow="-110" windowWidth="19420" windowHeight="10300" xr2:uid="{00000000-000D-0000-FFFF-FFFF00000000}"/>
  </bookViews>
  <sheets>
    <sheet name="Raw_Data" sheetId="5" r:id="rId1"/>
    <sheet name="Clean_Data" sheetId="1" r:id="rId2"/>
    <sheet name="Statistics" sheetId="6" r:id="rId3"/>
    <sheet name="Helper" sheetId="2" r:id="rId4"/>
    <sheet name="Pivot" sheetId="3" r:id="rId5"/>
    <sheet name="Dashboard" sheetId="4" r:id="rId6"/>
  </sheets>
  <definedNames>
    <definedName name="_xlnm._FilterDatabase" localSheetId="1" hidden="1">Clean_Data!$A$1:$G$110</definedName>
    <definedName name="_xlnm._FilterDatabase" localSheetId="2" hidden="1">Statistics!$A$1:$G$110</definedName>
    <definedName name="_xlnm.Criteria" localSheetId="1">Clean_Data!#REF!</definedName>
    <definedName name="_xlnm.Criteria" localSheetId="2">Statistics!$I$2:$K$3</definedName>
    <definedName name="NativeTimeline_Tanggal">#N/A</definedName>
    <definedName name="Slicer_Jenis_Produk">#N/A</definedName>
    <definedName name="Slicer_Month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b8NsYYV+oXRmz4VDy3oXmes9uGr+sahMuXhQOjgRkIo="/>
    </ext>
  </extLst>
</workbook>
</file>

<file path=xl/calcChain.xml><?xml version="1.0" encoding="utf-8"?>
<calcChain xmlns="http://schemas.openxmlformats.org/spreadsheetml/2006/main">
  <c r="F108" i="6" l="1"/>
  <c r="E105" i="6"/>
  <c r="O26" i="6"/>
  <c r="O25" i="6"/>
  <c r="O24" i="6"/>
  <c r="O23" i="6"/>
  <c r="J19" i="6"/>
  <c r="J18" i="6"/>
  <c r="J17" i="6"/>
  <c r="J16" i="6"/>
  <c r="J12" i="6"/>
  <c r="J11" i="6"/>
  <c r="J10" i="6"/>
  <c r="J9" i="6"/>
  <c r="J8" i="6"/>
  <c r="E105" i="1"/>
  <c r="F108" i="1"/>
  <c r="F20" i="3"/>
  <c r="B32" i="3"/>
</calcChain>
</file>

<file path=xl/sharedStrings.xml><?xml version="1.0" encoding="utf-8"?>
<sst xmlns="http://schemas.openxmlformats.org/spreadsheetml/2006/main" count="679" uniqueCount="105">
  <si>
    <t>Tanggal</t>
  </si>
  <si>
    <t>Jenis Produk</t>
  </si>
  <si>
    <t>Jumlah Order</t>
  </si>
  <si>
    <t>Harga</t>
  </si>
  <si>
    <t>Total</t>
  </si>
  <si>
    <t>Status</t>
  </si>
  <si>
    <t>Foodpak 260</t>
  </si>
  <si>
    <t>FoodpakMatte 245</t>
  </si>
  <si>
    <t>CraftLaminasi 290</t>
  </si>
  <si>
    <t>Dupleks 310</t>
  </si>
  <si>
    <t>Ivory 270</t>
  </si>
  <si>
    <t>Kinstruk 130</t>
  </si>
  <si>
    <t>Dupleks 350</t>
  </si>
  <si>
    <t>CraftLaminasi</t>
  </si>
  <si>
    <t>GreaseProof</t>
  </si>
  <si>
    <t>Ivory 230</t>
  </si>
  <si>
    <t>CraftFoodpak 290</t>
  </si>
  <si>
    <t>Dupleks 270</t>
  </si>
  <si>
    <t>Kinstruk 150</t>
  </si>
  <si>
    <t>Kinstruk 260</t>
  </si>
  <si>
    <t>FoodpakGlossy</t>
  </si>
  <si>
    <t>Ivory 300</t>
  </si>
  <si>
    <t>Dupleks 270Eplex</t>
  </si>
  <si>
    <t>Ivory 250</t>
  </si>
  <si>
    <t>Foodpak 295Matte</t>
  </si>
  <si>
    <t>HVS</t>
  </si>
  <si>
    <t>Foodpak 260Glossy</t>
  </si>
  <si>
    <t>FoodpakGlossy 260</t>
  </si>
  <si>
    <t>Foodpak 295</t>
  </si>
  <si>
    <t>Dupleks 400</t>
  </si>
  <si>
    <t>Data Status</t>
  </si>
  <si>
    <t>Dalam Proses</t>
  </si>
  <si>
    <t xml:space="preserve">Selesai </t>
  </si>
  <si>
    <t>Dibatalkan</t>
  </si>
  <si>
    <t>Menunggu Pembayaran</t>
  </si>
  <si>
    <t>Barcode</t>
  </si>
  <si>
    <t>260 Glossy</t>
  </si>
  <si>
    <t>oof</t>
  </si>
  <si>
    <t>Foodpak 260 Matte</t>
  </si>
  <si>
    <t>Advanced Filter</t>
  </si>
  <si>
    <t>Row Labels</t>
  </si>
  <si>
    <t>Grand Total</t>
  </si>
  <si>
    <t>Jul</t>
  </si>
  <si>
    <t>Agu</t>
  </si>
  <si>
    <t>Sep</t>
  </si>
  <si>
    <t>01-Sep</t>
  </si>
  <si>
    <t>02-Sep</t>
  </si>
  <si>
    <t>03-Sep</t>
  </si>
  <si>
    <t>05-Sep</t>
  </si>
  <si>
    <t>07-Sep</t>
  </si>
  <si>
    <t>08-Sep</t>
  </si>
  <si>
    <t>14-Sep</t>
  </si>
  <si>
    <t>19-Sep</t>
  </si>
  <si>
    <t>24-Sep</t>
  </si>
  <si>
    <t>Sum of Total</t>
  </si>
  <si>
    <t>Sum of Jumlah Order</t>
  </si>
  <si>
    <t>Column Labels</t>
  </si>
  <si>
    <t>Count of Status</t>
  </si>
  <si>
    <t>5 Besar Penjualan Historis</t>
  </si>
  <si>
    <t>(All)</t>
  </si>
  <si>
    <t>Count of Persebaran Status Order</t>
  </si>
  <si>
    <t>Statistics: Data Centralization (Total)</t>
  </si>
  <si>
    <t>Average</t>
  </si>
  <si>
    <t>Median</t>
  </si>
  <si>
    <t>Modus</t>
  </si>
  <si>
    <t>Minimum</t>
  </si>
  <si>
    <t>Maximum</t>
  </si>
  <si>
    <t>Standard Deviation</t>
  </si>
  <si>
    <t>Q1</t>
  </si>
  <si>
    <t>Q3</t>
  </si>
  <si>
    <t>Q2</t>
  </si>
  <si>
    <t>Statistics: Data Distribution (Total)</t>
  </si>
  <si>
    <t>Trivia</t>
  </si>
  <si>
    <t>How many Dupleks 350 that have been sold?</t>
  </si>
  <si>
    <t>What is the total revenue for Dupleks 350?</t>
  </si>
  <si>
    <t>What is the averave revenue of Dupleks 350?</t>
  </si>
  <si>
    <t>&gt;500</t>
  </si>
  <si>
    <t>How much does Craft Laminasi 290 earn with a unit price of more than Rp500?</t>
  </si>
  <si>
    <t>&lt;&gt;400</t>
  </si>
  <si>
    <t>08-Jul</t>
  </si>
  <si>
    <t>05-Agu</t>
  </si>
  <si>
    <t>08-Agu</t>
  </si>
  <si>
    <t>09-Agu</t>
  </si>
  <si>
    <t>10-Agu</t>
  </si>
  <si>
    <t>11-Agu</t>
  </si>
  <si>
    <t>12-Agu</t>
  </si>
  <si>
    <t>13-Agu</t>
  </si>
  <si>
    <t>15-Agu</t>
  </si>
  <si>
    <t>16-Agu</t>
  </si>
  <si>
    <t>18-Agu</t>
  </si>
  <si>
    <t>22-Agu</t>
  </si>
  <si>
    <t>29-Agu</t>
  </si>
  <si>
    <t>30-Agu</t>
  </si>
  <si>
    <t>31-Agu</t>
  </si>
  <si>
    <t xml:space="preserve"> Dupleks 310</t>
  </si>
  <si>
    <t>Dupleks   350</t>
  </si>
  <si>
    <t>Ivory  270</t>
  </si>
  <si>
    <t xml:space="preserve">  260   Glossy</t>
  </si>
  <si>
    <t>Ivory      230</t>
  </si>
  <si>
    <t>Foodpak 260Matte</t>
  </si>
  <si>
    <t xml:space="preserve"> Kinstruk 130</t>
  </si>
  <si>
    <t>Ivory   230</t>
  </si>
  <si>
    <t>CraftLaminasi  290</t>
  </si>
  <si>
    <t>CraftLaminasi   290</t>
  </si>
  <si>
    <t xml:space="preserve"> CraftLaminasi 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</si>
</sst>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p&quot;* #,##0.00_-;\-&quot;Rp&quot;* #,##0.00_-;_-&quot;Rp&quot;* &quot;-&quot;??_-;_-@_-"/>
    <numFmt numFmtId="164" formatCode="_-&quot;Rp&quot;* #,##0_-;\-&quot;Rp&quot;* #,##0_-;_-&quot;Rp&quot;* &quot;-&quot;??_-;_-@_-"/>
    <numFmt numFmtId="165" formatCode="@* &quot;:&quot;"/>
    <numFmt numFmtId="167" formatCode="d/m/yyyy"/>
    <numFmt numFmtId="168" formatCode="[$-F800]dddd\,\ mmmm\ dd\,\ yyyy"/>
    <numFmt numFmtId="169" formatCode="&quot;Rp&quot;#,##0"/>
    <numFmt numFmtId="170" formatCode="_-&quot;Rp&quot;* #,##0_-;\-&quot;Rp&quot;* #,##0_-;_-&quot;Rp&quot;* &quot;-&quot;_-;_-@"/>
    <numFmt numFmtId="171" formatCode="[$-13809]d\ mmm\ yyyy"/>
    <numFmt numFmtId="172" formatCode="[$-13809]dd\ mmmm\ yyyy"/>
    <numFmt numFmtId="173" formatCode="[$-13809]dd/mm/yy"/>
  </numFmts>
  <fonts count="7" x14ac:knownFonts="1">
    <font>
      <sz val="11"/>
      <color theme="1"/>
      <name val="Calibri"/>
      <scheme val="minor"/>
    </font>
    <font>
      <b/>
      <sz val="10"/>
      <color theme="1"/>
      <name val="Arial"/>
    </font>
    <font>
      <sz val="11"/>
      <color theme="1"/>
      <name val="Calibri"/>
    </font>
    <font>
      <sz val="11"/>
      <color theme="1"/>
      <name val="Calibri"/>
      <scheme val="minor"/>
    </font>
    <font>
      <b/>
      <sz val="11"/>
      <color theme="1"/>
      <name val="Calibri"/>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D9EAD3"/>
        <bgColor rgb="FFD9EAD3"/>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applyFont="1" applyAlignment="1"/>
    <xf numFmtId="0" fontId="1" fillId="0" borderId="1" xfId="0" applyFont="1" applyBorder="1" applyAlignment="1">
      <alignment horizontal="center"/>
    </xf>
    <xf numFmtId="0" fontId="3" fillId="0" borderId="1" xfId="0" applyFont="1" applyBorder="1"/>
    <xf numFmtId="0" fontId="4" fillId="0" borderId="0" xfId="0" applyFont="1" applyAlignment="1"/>
    <xf numFmtId="0" fontId="4" fillId="2" borderId="1" xfId="0" applyFont="1" applyFill="1" applyBorder="1" applyAlignment="1"/>
    <xf numFmtId="0" fontId="3" fillId="0" borderId="0" xfId="0" applyFont="1" applyAlignment="1"/>
    <xf numFmtId="0" fontId="3" fillId="0" borderId="1" xfId="0" applyFont="1" applyBorder="1" applyAlignment="1"/>
    <xf numFmtId="14" fontId="1" fillId="0" borderId="1" xfId="0" applyNumberFormat="1" applyFont="1" applyBorder="1" applyAlignment="1">
      <alignment horizontal="center"/>
    </xf>
    <xf numFmtId="14" fontId="2" fillId="0" borderId="1" xfId="0" applyNumberFormat="1" applyFont="1" applyBorder="1" applyAlignment="1">
      <alignment horizontal="left"/>
    </xf>
    <xf numFmtId="14" fontId="0" fillId="0" borderId="0" xfId="0" applyNumberFormat="1" applyFont="1" applyAlignment="1"/>
    <xf numFmtId="1" fontId="1" fillId="0" borderId="1" xfId="0" applyNumberFormat="1" applyFont="1" applyBorder="1" applyAlignment="1">
      <alignment horizontal="center"/>
    </xf>
    <xf numFmtId="1" fontId="0" fillId="0" borderId="0" xfId="0" applyNumberFormat="1" applyFont="1" applyAlignment="1"/>
    <xf numFmtId="164" fontId="1" fillId="0" borderId="1" xfId="0" applyNumberFormat="1" applyFont="1" applyBorder="1" applyAlignment="1">
      <alignment horizontal="center"/>
    </xf>
    <xf numFmtId="164" fontId="2" fillId="0" borderId="1" xfId="0" applyNumberFormat="1" applyFont="1" applyBorder="1" applyAlignment="1">
      <alignment horizontal="right"/>
    </xf>
    <xf numFmtId="164" fontId="0" fillId="0" borderId="0" xfId="0" applyNumberFormat="1" applyFont="1" applyAlignment="1"/>
    <xf numFmtId="0" fontId="0" fillId="0" borderId="0" xfId="0" applyNumberFormat="1" applyFont="1" applyAlignment="1"/>
    <xf numFmtId="1" fontId="2" fillId="0" borderId="1" xfId="0" applyNumberFormat="1" applyFont="1" applyBorder="1" applyAlignment="1">
      <alignment horizontal="center"/>
    </xf>
    <xf numFmtId="1" fontId="0" fillId="0" borderId="0" xfId="0" applyNumberFormat="1" applyFont="1" applyAlignment="1">
      <alignment horizontal="center"/>
    </xf>
    <xf numFmtId="1" fontId="2" fillId="0" borderId="1" xfId="0" applyNumberFormat="1" applyFont="1" applyBorder="1" applyAlignment="1">
      <alignment horizontal="right"/>
    </xf>
    <xf numFmtId="0" fontId="2" fillId="0" borderId="1" xfId="0" applyNumberFormat="1" applyFont="1" applyBorder="1" applyAlignment="1">
      <alignment horizontal="center"/>
    </xf>
    <xf numFmtId="0" fontId="0" fillId="0" borderId="2" xfId="0" applyFont="1" applyBorder="1" applyAlignment="1"/>
    <xf numFmtId="0" fontId="6" fillId="0" borderId="2" xfId="0" applyFont="1" applyBorder="1" applyAlignment="1"/>
    <xf numFmtId="0" fontId="0" fillId="0" borderId="2" xfId="0" applyFont="1" applyBorder="1" applyAlignment="1">
      <alignment horizontal="center"/>
    </xf>
    <xf numFmtId="0" fontId="0" fillId="0" borderId="2" xfId="0" applyFont="1" applyFill="1" applyBorder="1" applyAlignment="1">
      <alignment horizontal="center"/>
    </xf>
    <xf numFmtId="0" fontId="0" fillId="0" borderId="0" xfId="0" pivotButton="1" applyFont="1" applyAlignment="1"/>
    <xf numFmtId="0" fontId="0" fillId="0" borderId="0" xfId="0" applyFont="1" applyAlignment="1">
      <alignment horizontal="left"/>
    </xf>
    <xf numFmtId="14" fontId="0" fillId="0" borderId="0" xfId="0" applyNumberFormat="1" applyFont="1" applyAlignment="1">
      <alignment horizontal="left" indent="1"/>
    </xf>
    <xf numFmtId="10" fontId="0" fillId="0" borderId="0" xfId="0" applyNumberFormat="1" applyFont="1" applyAlignment="1"/>
    <xf numFmtId="44" fontId="0" fillId="0" borderId="0" xfId="0" applyNumberFormat="1" applyFont="1" applyAlignment="1"/>
    <xf numFmtId="165" fontId="0" fillId="0" borderId="2" xfId="0" applyNumberFormat="1" applyFont="1" applyBorder="1" applyAlignment="1"/>
    <xf numFmtId="1" fontId="0" fillId="0" borderId="2" xfId="0" applyNumberFormat="1" applyFont="1" applyBorder="1" applyAlignment="1"/>
    <xf numFmtId="164" fontId="0" fillId="0" borderId="2" xfId="0" applyNumberFormat="1" applyFont="1" applyBorder="1" applyAlignment="1"/>
    <xf numFmtId="165" fontId="6" fillId="0" borderId="2" xfId="0" applyNumberFormat="1" applyFont="1" applyFill="1" applyBorder="1" applyAlignment="1">
      <alignment horizontal="center"/>
    </xf>
    <xf numFmtId="165" fontId="0" fillId="0" borderId="2" xfId="0" applyNumberFormat="1" applyFont="1" applyFill="1" applyBorder="1" applyAlignment="1">
      <alignment horizontal="center"/>
    </xf>
    <xf numFmtId="164" fontId="0" fillId="0" borderId="2" xfId="0" applyNumberFormat="1" applyFont="1" applyBorder="1" applyAlignment="1">
      <alignment horizontal="center"/>
    </xf>
    <xf numFmtId="164" fontId="6" fillId="0" borderId="2" xfId="0" applyNumberFormat="1" applyFont="1" applyBorder="1" applyAlignment="1">
      <alignment horizontal="center"/>
    </xf>
    <xf numFmtId="0" fontId="5" fillId="0" borderId="3" xfId="0" applyNumberFormat="1" applyFont="1" applyFill="1" applyBorder="1" applyAlignment="1">
      <alignment horizontal="center"/>
    </xf>
    <xf numFmtId="0" fontId="5" fillId="0" borderId="4" xfId="0" applyNumberFormat="1" applyFont="1" applyFill="1" applyBorder="1" applyAlignment="1">
      <alignment horizontal="center"/>
    </xf>
    <xf numFmtId="0" fontId="5" fillId="0" borderId="5" xfId="0" applyNumberFormat="1" applyFont="1" applyFill="1" applyBorder="1" applyAlignment="1">
      <alignment horizontal="center"/>
    </xf>
    <xf numFmtId="0" fontId="5" fillId="0" borderId="2" xfId="0" applyFont="1" applyBorder="1" applyAlignment="1">
      <alignment horizontal="center"/>
    </xf>
    <xf numFmtId="0" fontId="5" fillId="0" borderId="2" xfId="0" applyNumberFormat="1" applyFont="1" applyBorder="1" applyAlignment="1">
      <alignment horizontal="center"/>
    </xf>
    <xf numFmtId="164" fontId="0" fillId="0" borderId="2" xfId="0" applyNumberFormat="1" applyFont="1" applyBorder="1" applyAlignment="1"/>
    <xf numFmtId="0" fontId="0" fillId="0" borderId="0" xfId="0"/>
    <xf numFmtId="167" fontId="2" fillId="0" borderId="1" xfId="0" applyNumberFormat="1" applyFont="1" applyBorder="1" applyAlignment="1">
      <alignment horizontal="left"/>
    </xf>
    <xf numFmtId="0" fontId="2" fillId="0" borderId="1" xfId="0" applyFont="1" applyBorder="1"/>
    <xf numFmtId="0" fontId="2" fillId="0" borderId="1" xfId="0" applyFont="1" applyBorder="1" applyAlignment="1">
      <alignment horizontal="right"/>
    </xf>
    <xf numFmtId="168" fontId="2" fillId="0" borderId="1" xfId="0" applyNumberFormat="1" applyFont="1" applyBorder="1" applyAlignment="1">
      <alignment horizontal="left"/>
    </xf>
    <xf numFmtId="169" fontId="2" fillId="0" borderId="1" xfId="0" applyNumberFormat="1" applyFont="1" applyBorder="1" applyAlignment="1">
      <alignment horizontal="right"/>
    </xf>
    <xf numFmtId="170" fontId="2" fillId="0" borderId="1" xfId="0" applyNumberFormat="1" applyFont="1" applyBorder="1" applyAlignment="1">
      <alignment horizontal="right"/>
    </xf>
    <xf numFmtId="169" fontId="2" fillId="0" borderId="1" xfId="0" applyNumberFormat="1" applyFont="1" applyBorder="1"/>
    <xf numFmtId="171" fontId="2" fillId="0" borderId="1" xfId="0" applyNumberFormat="1" applyFont="1" applyBorder="1" applyAlignment="1">
      <alignment horizontal="left"/>
    </xf>
    <xf numFmtId="170" fontId="2" fillId="0" borderId="1" xfId="0" applyNumberFormat="1" applyFont="1" applyBorder="1"/>
    <xf numFmtId="172" fontId="2" fillId="0" borderId="1" xfId="0" applyNumberFormat="1" applyFont="1" applyBorder="1" applyAlignment="1">
      <alignment horizontal="left"/>
    </xf>
    <xf numFmtId="173" fontId="2"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[HoP_Dataset (Practice).xlsx]Pivot!PivotTable2</c:name>
    <c:fmtId val="5"/>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2000">
                <a:srgbClr val="EB7900"/>
              </a:gs>
              <a:gs pos="48000">
                <a:srgbClr val="FF0000"/>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c:f>
              <c:strCache>
                <c:ptCount val="1"/>
                <c:pt idx="0">
                  <c:v>Total</c:v>
                </c:pt>
              </c:strCache>
            </c:strRef>
          </c:tx>
          <c:spPr>
            <a:gradFill>
              <a:gsLst>
                <a:gs pos="82000">
                  <a:srgbClr val="EB7900"/>
                </a:gs>
                <a:gs pos="48000">
                  <a:srgbClr val="FF0000"/>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sz="1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Pivot!$E$4:$E$9</c:f>
              <c:strCache>
                <c:ptCount val="5"/>
                <c:pt idx="0">
                  <c:v>Foodpak 260Glossy</c:v>
                </c:pt>
                <c:pt idx="1">
                  <c:v>CraftFoodpak 290</c:v>
                </c:pt>
                <c:pt idx="2">
                  <c:v>Dupleks 350</c:v>
                </c:pt>
                <c:pt idx="3">
                  <c:v>Dupleks 310</c:v>
                </c:pt>
                <c:pt idx="4">
                  <c:v>CraftLaminasi 290</c:v>
                </c:pt>
              </c:strCache>
            </c:strRef>
          </c:cat>
          <c:val>
            <c:numRef>
              <c:f>Pivot!$F$4:$F$9</c:f>
              <c:numCache>
                <c:formatCode>0.00%</c:formatCode>
                <c:ptCount val="5"/>
                <c:pt idx="0">
                  <c:v>8.2100832864044571E-2</c:v>
                </c:pt>
                <c:pt idx="1">
                  <c:v>9.7513263582204565E-2</c:v>
                </c:pt>
                <c:pt idx="2">
                  <c:v>0.17813213195411837</c:v>
                </c:pt>
                <c:pt idx="3">
                  <c:v>0.30169833130798185</c:v>
                </c:pt>
                <c:pt idx="4">
                  <c:v>0.34055544029165064</c:v>
                </c:pt>
              </c:numCache>
            </c:numRef>
          </c:val>
          <c:extLst>
            <c:ext xmlns:c16="http://schemas.microsoft.com/office/drawing/2014/chart" uri="{C3380CC4-5D6E-409C-BE32-E72D297353CC}">
              <c16:uniqueId val="{00000000-E839-4CAC-B633-1FF36E416241}"/>
            </c:ext>
          </c:extLst>
        </c:ser>
        <c:dLbls>
          <c:dLblPos val="outEnd"/>
          <c:showLegendKey val="0"/>
          <c:showVal val="1"/>
          <c:showCatName val="0"/>
          <c:showSerName val="0"/>
          <c:showPercent val="0"/>
          <c:showBubbleSize val="0"/>
        </c:dLbls>
        <c:gapWidth val="219"/>
        <c:axId val="700629167"/>
        <c:axId val="700628751"/>
      </c:barChart>
      <c:catAx>
        <c:axId val="70062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00628751"/>
        <c:crosses val="autoZero"/>
        <c:auto val="1"/>
        <c:lblAlgn val="ctr"/>
        <c:lblOffset val="100"/>
        <c:noMultiLvlLbl val="0"/>
      </c:catAx>
      <c:valAx>
        <c:axId val="700628751"/>
        <c:scaling>
          <c:orientation val="minMax"/>
        </c:scaling>
        <c:delete val="1"/>
        <c:axPos val="b"/>
        <c:numFmt formatCode="0.00%" sourceLinked="1"/>
        <c:majorTickMark val="none"/>
        <c:minorTickMark val="none"/>
        <c:tickLblPos val="nextTo"/>
        <c:crossAx val="70062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[HoP_Dataset (Practice).xlsx]Pivot!PivotTable5</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87000">
                <a:srgbClr val="EB7900"/>
              </a:gs>
              <a:gs pos="22000">
                <a:srgbClr val="FF0000"/>
              </a:gs>
            </a:gsLst>
            <a:lin ang="108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85635376235606"/>
          <c:y val="0.10156299413813585"/>
          <c:w val="0.7462870258171751"/>
          <c:h val="0.89843700586186415"/>
        </c:manualLayout>
      </c:layout>
      <c:barChart>
        <c:barDir val="bar"/>
        <c:grouping val="clustered"/>
        <c:varyColors val="0"/>
        <c:ser>
          <c:idx val="0"/>
          <c:order val="0"/>
          <c:tx>
            <c:strRef>
              <c:f>Pivot!$F$12</c:f>
              <c:strCache>
                <c:ptCount val="1"/>
                <c:pt idx="0">
                  <c:v>Total</c:v>
                </c:pt>
              </c:strCache>
            </c:strRef>
          </c:tx>
          <c:spPr>
            <a:gradFill>
              <a:gsLst>
                <a:gs pos="87000">
                  <a:srgbClr val="EB7900"/>
                </a:gs>
                <a:gs pos="22000">
                  <a:srgbClr val="FF0000"/>
                </a:gs>
              </a:gsLst>
              <a:lin ang="10800000" scaled="1"/>
            </a:gra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Pivot!$E$13:$E$18</c:f>
              <c:strCache>
                <c:ptCount val="5"/>
                <c:pt idx="0">
                  <c:v>CraftFoodpak 290</c:v>
                </c:pt>
                <c:pt idx="1">
                  <c:v>Dupleks 350</c:v>
                </c:pt>
                <c:pt idx="2">
                  <c:v>HVS</c:v>
                </c:pt>
                <c:pt idx="3">
                  <c:v>Dupleks 310</c:v>
                </c:pt>
                <c:pt idx="4">
                  <c:v>CraftLaminasi 290</c:v>
                </c:pt>
              </c:strCache>
            </c:strRef>
          </c:cat>
          <c:val>
            <c:numRef>
              <c:f>Pivot!$F$13:$F$18</c:f>
              <c:numCache>
                <c:formatCode>General</c:formatCode>
                <c:ptCount val="5"/>
                <c:pt idx="0">
                  <c:v>12500</c:v>
                </c:pt>
                <c:pt idx="1">
                  <c:v>15000</c:v>
                </c:pt>
                <c:pt idx="2">
                  <c:v>20000</c:v>
                </c:pt>
                <c:pt idx="3">
                  <c:v>30000</c:v>
                </c:pt>
                <c:pt idx="4">
                  <c:v>51500</c:v>
                </c:pt>
              </c:numCache>
            </c:numRef>
          </c:val>
          <c:extLst>
            <c:ext xmlns:c16="http://schemas.microsoft.com/office/drawing/2014/chart" uri="{C3380CC4-5D6E-409C-BE32-E72D297353CC}">
              <c16:uniqueId val="{00000000-5167-49C2-99DD-75220ECB4220}"/>
            </c:ext>
          </c:extLst>
        </c:ser>
        <c:dLbls>
          <c:dLblPos val="outEnd"/>
          <c:showLegendKey val="0"/>
          <c:showVal val="1"/>
          <c:showCatName val="0"/>
          <c:showSerName val="0"/>
          <c:showPercent val="0"/>
          <c:showBubbleSize val="0"/>
        </c:dLbls>
        <c:gapWidth val="182"/>
        <c:axId val="889905839"/>
        <c:axId val="889901263"/>
      </c:barChart>
      <c:catAx>
        <c:axId val="88990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889901263"/>
        <c:crosses val="autoZero"/>
        <c:auto val="1"/>
        <c:lblAlgn val="ctr"/>
        <c:lblOffset val="100"/>
        <c:noMultiLvlLbl val="0"/>
      </c:catAx>
      <c:valAx>
        <c:axId val="889901263"/>
        <c:scaling>
          <c:orientation val="minMax"/>
        </c:scaling>
        <c:delete val="1"/>
        <c:axPos val="b"/>
        <c:numFmt formatCode="General" sourceLinked="1"/>
        <c:majorTickMark val="none"/>
        <c:minorTickMark val="none"/>
        <c:tickLblPos val="nextTo"/>
        <c:crossAx val="88990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[HoP_Dataset (Practice).xlsx]Pivot!PivotTable6</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hade val="53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tint val="54000"/>
              </a:schemeClr>
            </a:solidFill>
            <a:ln w="9525">
              <a:solidFill>
                <a:schemeClr val="accent2">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8575" cap="rnd">
            <a:solidFill>
              <a:schemeClr val="accent2">
                <a:shade val="53000"/>
              </a:schemeClr>
            </a:solidFill>
            <a:round/>
          </a:ln>
          <a:effectLst/>
        </c:spPr>
        <c:marker>
          <c:symbol val="circle"/>
          <c:size val="5"/>
          <c:spPr>
            <a:solidFill>
              <a:schemeClr val="accent2">
                <a:shade val="53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28575" cap="rnd">
            <a:solidFill>
              <a:schemeClr val="accent2">
                <a:shade val="53000"/>
              </a:schemeClr>
            </a:solidFill>
            <a:round/>
          </a:ln>
          <a:effectLst/>
        </c:spPr>
        <c:marker>
          <c:symbol val="circle"/>
          <c:size val="5"/>
          <c:spPr>
            <a:solidFill>
              <a:schemeClr val="accent2">
                <a:shade val="53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17682134570765659"/>
                  <c:h val="6.9375182268883062E-2"/>
                </c:manualLayout>
              </c15:layout>
            </c:ext>
          </c:extLst>
        </c:dLbl>
      </c:pivotFmt>
      <c:pivotFmt>
        <c:idx val="28"/>
        <c:spPr>
          <a:solidFill>
            <a:schemeClr val="accent2"/>
          </a:solidFill>
          <a:ln w="28575" cap="rnd">
            <a:solidFill>
              <a:schemeClr val="accent2">
                <a:shade val="76000"/>
              </a:schemeClr>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28575" cap="rnd">
            <a:solidFill>
              <a:schemeClr val="accent2">
                <a:shade val="76000"/>
              </a:schemeClr>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w="28575" cap="rnd">
            <a:solidFill>
              <a:schemeClr val="accent2">
                <a:tint val="54000"/>
              </a:schemeClr>
            </a:solidFill>
            <a:round/>
          </a:ln>
          <a:effectLst/>
        </c:spPr>
        <c:marker>
          <c:symbol val="circle"/>
          <c:size val="5"/>
          <c:spPr>
            <a:solidFill>
              <a:schemeClr val="accent2">
                <a:tint val="54000"/>
              </a:schemeClr>
            </a:solidFill>
            <a:ln w="9525">
              <a:solidFill>
                <a:schemeClr val="accent2">
                  <a:tint val="54000"/>
                </a:schemeClr>
              </a:solidFill>
            </a:ln>
            <a:effectLst/>
          </c:spPr>
        </c:marker>
        <c:dLbl>
          <c:idx val="0"/>
          <c:layout>
            <c:manualLayout>
              <c:x val="2.320185614849187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w="28575" cap="rnd">
            <a:solidFill>
              <a:schemeClr val="accent2">
                <a:tint val="54000"/>
              </a:schemeClr>
            </a:solidFill>
            <a:round/>
          </a:ln>
          <a:effectLst/>
        </c:spPr>
        <c:marker>
          <c:symbol val="circle"/>
          <c:size val="5"/>
          <c:spPr>
            <a:solidFill>
              <a:schemeClr val="accent2">
                <a:tint val="54000"/>
              </a:schemeClr>
            </a:solidFill>
            <a:ln w="9525">
              <a:solidFill>
                <a:schemeClr val="accent2">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w="28575" cap="rnd">
            <a:solidFill>
              <a:schemeClr val="accent2"/>
            </a:solidFill>
            <a:round/>
          </a:ln>
          <a:effectLst/>
        </c:spPr>
        <c:marker>
          <c:symbol val="circle"/>
          <c:size val="5"/>
          <c:spPr>
            <a:solidFill>
              <a:schemeClr val="accent2">
                <a:shade val="53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extLst>
        </c:dLbl>
      </c:pivotFmt>
      <c:pivotFmt>
        <c:idx val="37"/>
        <c:spPr>
          <a:solidFill>
            <a:schemeClr val="accent2"/>
          </a:solidFill>
          <a:ln w="28575" cap="rnd">
            <a:solidFill>
              <a:schemeClr val="accent2">
                <a:shade val="53000"/>
              </a:schemeClr>
            </a:solidFill>
            <a:round/>
          </a:ln>
          <a:effectLst/>
        </c:spPr>
        <c:marker>
          <c:symbol val="circle"/>
          <c:size val="5"/>
          <c:spPr>
            <a:solidFill>
              <a:schemeClr val="accent2">
                <a:shade val="53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7682134570765659"/>
                  <c:h val="6.9375182268883062E-2"/>
                </c:manualLayout>
              </c15:layout>
            </c:ext>
          </c:extLst>
        </c:dLbl>
      </c:pivotFmt>
      <c:pivotFmt>
        <c:idx val="38"/>
        <c:spPr>
          <a:solidFill>
            <a:schemeClr val="accent2"/>
          </a:solidFill>
          <a:ln w="28575" cap="rnd">
            <a:solidFill>
              <a:schemeClr val="accent2">
                <a:shade val="53000"/>
              </a:schemeClr>
            </a:solidFill>
            <a:round/>
          </a:ln>
          <a:effectLst/>
        </c:spPr>
        <c:marker>
          <c:symbol val="circle"/>
          <c:size val="5"/>
          <c:spPr>
            <a:solidFill>
              <a:schemeClr val="accent2">
                <a:shade val="53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w="28575" cap="rnd">
            <a:solidFill>
              <a:schemeClr val="accent2"/>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0"/>
        <c:spPr>
          <a:solidFill>
            <a:schemeClr val="accent2"/>
          </a:solidFill>
          <a:ln w="28575" cap="rnd">
            <a:solidFill>
              <a:schemeClr val="accent2">
                <a:shade val="76000"/>
              </a:schemeClr>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w="28575" cap="rnd">
            <a:solidFill>
              <a:schemeClr val="accent2">
                <a:shade val="76000"/>
              </a:schemeClr>
            </a:solidFill>
            <a:round/>
          </a:ln>
          <a:effectLst/>
        </c:spPr>
        <c:marker>
          <c:symbol val="circle"/>
          <c:size val="5"/>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6"/>
        <c:spPr>
          <a:solidFill>
            <a:schemeClr val="accent2"/>
          </a:solidFill>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w="28575" cap="rnd">
            <a:solidFill>
              <a:schemeClr val="accent2"/>
            </a:solidFill>
            <a:round/>
          </a:ln>
          <a:effectLst/>
        </c:spPr>
        <c:marker>
          <c:symbol val="circle"/>
          <c:size val="5"/>
          <c:spPr>
            <a:solidFill>
              <a:schemeClr val="accent2">
                <a:tint val="54000"/>
              </a:schemeClr>
            </a:solidFill>
            <a:ln w="9525">
              <a:solidFill>
                <a:schemeClr val="accent2">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9"/>
        <c:spPr>
          <a:solidFill>
            <a:schemeClr val="accent2"/>
          </a:solidFill>
          <a:ln w="28575" cap="rnd">
            <a:solidFill>
              <a:schemeClr val="accent2">
                <a:tint val="54000"/>
              </a:schemeClr>
            </a:solidFill>
            <a:round/>
          </a:ln>
          <a:effectLst/>
        </c:spPr>
        <c:marker>
          <c:symbol val="circle"/>
          <c:size val="5"/>
          <c:spPr>
            <a:solidFill>
              <a:schemeClr val="accent2">
                <a:tint val="54000"/>
              </a:schemeClr>
            </a:solidFill>
            <a:ln w="9525">
              <a:solidFill>
                <a:schemeClr val="accent2">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w="28575" cap="rnd">
            <a:solidFill>
              <a:schemeClr val="accent2">
                <a:tint val="54000"/>
              </a:schemeClr>
            </a:solidFill>
            <a:round/>
          </a:ln>
          <a:effectLst/>
        </c:spPr>
        <c:marker>
          <c:symbol val="circle"/>
          <c:size val="5"/>
          <c:spPr>
            <a:solidFill>
              <a:schemeClr val="accent2">
                <a:tint val="54000"/>
              </a:schemeClr>
            </a:solidFill>
            <a:ln w="9525">
              <a:solidFill>
                <a:schemeClr val="accent2">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shade val="53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extLst>
        </c:dLbl>
      </c:pivotFmt>
      <c:pivotFmt>
        <c:idx val="52"/>
        <c:spPr>
          <a:ln w="28575" cap="rnd">
            <a:solidFill>
              <a:schemeClr val="accent2">
                <a:lumMod val="40000"/>
                <a:lumOff val="60000"/>
              </a:schemeClr>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7682134570765659"/>
                  <c:h val="6.9375182268883062E-2"/>
                </c:manualLayout>
              </c15:layout>
            </c:ext>
          </c:extLst>
        </c:dLbl>
      </c:pivotFmt>
      <c:pivotFmt>
        <c:idx val="53"/>
        <c:spPr>
          <a:ln w="28575" cap="rnd">
            <a:solidFill>
              <a:schemeClr val="accent2">
                <a:lumMod val="40000"/>
                <a:lumOff val="60000"/>
              </a:schemeClr>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2"/>
            </a:solidFill>
            <a:round/>
          </a:ln>
          <a:effectLst/>
        </c:spPr>
        <c:marker>
          <c:symbol val="circle"/>
          <c:size val="5"/>
          <c:spPr>
            <a:solidFill>
              <a:schemeClr val="accent2"/>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5"/>
        <c:spPr>
          <a:ln w="28575" cap="rnd">
            <a:solidFill>
              <a:schemeClr val="accent2"/>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2"/>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rgbClr val="FFC000"/>
            </a:solidFill>
            <a:round/>
          </a:ln>
          <a:effectLst/>
        </c:spPr>
        <c:marker>
          <c:symbol val="circle"/>
          <c:size val="5"/>
          <c:spPr>
            <a:solidFill>
              <a:srgbClr val="FFFF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8"/>
        <c:spPr>
          <a:ln w="28575" cap="rnd">
            <a:solidFill>
              <a:srgbClr val="FFC000"/>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rgbClr val="FFC000"/>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bg2"/>
            </a:solidFill>
            <a:round/>
          </a:ln>
          <a:effectLst/>
        </c:spPr>
        <c:marker>
          <c:symbol val="circle"/>
          <c:size val="5"/>
          <c:spPr>
            <a:solidFill>
              <a:schemeClr val="bg1"/>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1"/>
        <c:spPr>
          <a:ln w="28575" cap="rnd">
            <a:solidFill>
              <a:schemeClr val="bg2"/>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bg2"/>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rgbClr val="C00000"/>
            </a:solidFill>
            <a:round/>
          </a:ln>
          <a:effectLst/>
        </c:spPr>
        <c:marker>
          <c:symbol val="circle"/>
          <c:size val="5"/>
          <c:spPr>
            <a:solidFill>
              <a:srgbClr val="FF0000"/>
            </a:solidFill>
            <a:ln w="9525">
              <a:solidFill>
                <a:schemeClr val="accent2">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4"/>
        <c:spPr>
          <a:ln w="28575" cap="rnd">
            <a:solidFill>
              <a:srgbClr val="C00000"/>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rgbClr val="C00000"/>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rgbClr val="C00000"/>
            </a:solidFill>
            <a:round/>
          </a:ln>
          <a:effectLst/>
        </c:spPr>
        <c:marker>
          <c:symbol val="circle"/>
          <c:size val="5"/>
          <c:spPr>
            <a:solidFill>
              <a:srgbClr val="FF0000"/>
            </a:solidFill>
            <a:ln w="9525">
              <a:solidFill>
                <a:schemeClr val="accent2">
                  <a:tint val="54000"/>
                </a:schemeClr>
              </a:solidFill>
            </a:ln>
            <a:effectLst/>
          </c:spPr>
        </c:marker>
        <c:dLbl>
          <c:idx val="0"/>
          <c:layout>
            <c:manualLayout>
              <c:x val="-0.16792490203883095"/>
              <c:y val="-2.84002899399813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9131886691083525"/>
                  <c:h val="0.1428835652725467"/>
                </c:manualLayout>
              </c15:layout>
            </c:ext>
          </c:extLst>
        </c:dLbl>
      </c:pivotFmt>
      <c:pivotFmt>
        <c:idx val="70"/>
        <c:spPr>
          <a:ln w="28575" cap="rnd">
            <a:solidFill>
              <a:schemeClr val="bg2"/>
            </a:solidFill>
            <a:round/>
          </a:ln>
          <a:effectLst/>
        </c:spPr>
        <c:marker>
          <c:symbol val="circle"/>
          <c:size val="5"/>
          <c:spPr>
            <a:solidFill>
              <a:schemeClr val="bg1"/>
            </a:solidFill>
            <a:ln w="9525">
              <a:solidFill>
                <a:schemeClr val="accent2">
                  <a:tint val="77000"/>
                </a:schemeClr>
              </a:solidFill>
            </a:ln>
            <a:effectLst/>
          </c:spPr>
        </c:marker>
        <c:dLbl>
          <c:idx val="0"/>
          <c:layout>
            <c:manualLayout>
              <c:x val="6.5003187885997495E-3"/>
              <c:y val="-1.3270919375159137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1"/>
        <c:spPr>
          <a:ln w="28575" cap="rnd">
            <a:solidFill>
              <a:srgbClr val="FFC000"/>
            </a:solidFill>
            <a:round/>
          </a:ln>
          <a:effectLst/>
        </c:spPr>
        <c:marker>
          <c:symbol val="circle"/>
          <c:size val="5"/>
          <c:spPr>
            <a:solidFill>
              <a:srgbClr val="FFFF00"/>
            </a:solidFill>
            <a:ln w="9525">
              <a:solidFill>
                <a:schemeClr val="accent2"/>
              </a:solidFill>
            </a:ln>
            <a:effectLst/>
          </c:spPr>
        </c:marker>
        <c:dLbl>
          <c:idx val="0"/>
          <c:layout>
            <c:manualLayout>
              <c:x val="-1.5889484593228962E-16"/>
              <c:y val="-8.8472795834394664E-3"/>
            </c:manualLayout>
          </c:layout>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2"/>
        <c:spPr>
          <a:ln w="28575" cap="rnd">
            <a:solidFill>
              <a:schemeClr val="accent2"/>
            </a:solidFill>
            <a:round/>
          </a:ln>
          <a:effectLst/>
        </c:spPr>
        <c:marker>
          <c:symbol val="circle"/>
          <c:size val="5"/>
          <c:spPr>
            <a:solidFill>
              <a:schemeClr val="accent2"/>
            </a:solidFill>
            <a:ln w="9525">
              <a:solidFill>
                <a:schemeClr val="accent2">
                  <a:shade val="76000"/>
                </a:schemeClr>
              </a:solidFill>
            </a:ln>
            <a:effectLst/>
          </c:spPr>
        </c:marker>
        <c:dLbl>
          <c:idx val="0"/>
          <c:layout>
            <c:manualLayout>
              <c:x val="-5.4169323238332568E-4"/>
              <c:y val="5.750749145140318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1633060928460493"/>
                  <c:h val="0.1428835652725467"/>
                </c:manualLayout>
              </c15:layout>
            </c:ext>
          </c:extLst>
        </c:dLbl>
      </c:pivotFmt>
      <c:pivotFmt>
        <c:idx val="73"/>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shade val="53000"/>
                </a:schemeClr>
              </a:solidFill>
            </a:ln>
            <a:effectLst/>
          </c:spPr>
        </c:marker>
        <c:dLbl>
          <c:idx val="0"/>
          <c:layout>
            <c:manualLayout>
              <c:x val="0"/>
              <c:y val="-7.0778062508468562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24581663539063589"/>
                  <c:h val="0.1428835652725467"/>
                </c:manualLayout>
              </c15:layout>
            </c:ext>
          </c:extLst>
        </c:dLbl>
      </c:pivotFmt>
    </c:pivotFmts>
    <c:plotArea>
      <c:layout>
        <c:manualLayout>
          <c:layoutTarget val="inner"/>
          <c:xMode val="edge"/>
          <c:yMode val="edge"/>
          <c:x val="2.0954462431442281E-2"/>
          <c:y val="1.2457914089366105E-2"/>
          <c:w val="0.94877810856291067"/>
          <c:h val="0.83923204742809698"/>
        </c:manualLayout>
      </c:layout>
      <c:lineChart>
        <c:grouping val="stacked"/>
        <c:varyColors val="0"/>
        <c:ser>
          <c:idx val="0"/>
          <c:order val="0"/>
          <c:tx>
            <c:strRef>
              <c:f>Pivot!$I$12:$I$13</c:f>
              <c:strCache>
                <c:ptCount val="1"/>
                <c:pt idx="0">
                  <c:v>CraftFoodpak 290</c:v>
                </c:pt>
              </c:strCache>
            </c:strRef>
          </c:tx>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shade val="53000"/>
                  </a:schemeClr>
                </a:solidFill>
              </a:ln>
              <a:effectLst/>
            </c:spPr>
          </c:marker>
          <c:dPt>
            <c:idx val="0"/>
            <c:marker>
              <c:symbol val="circle"/>
              <c:size val="5"/>
              <c:spPr>
                <a:solidFill>
                  <a:schemeClr val="accent2">
                    <a:lumMod val="40000"/>
                    <a:lumOff val="60000"/>
                  </a:schemeClr>
                </a:solidFill>
                <a:ln w="9525">
                  <a:solidFill>
                    <a:schemeClr val="accent2">
                      <a:shade val="53000"/>
                    </a:schemeClr>
                  </a:solidFill>
                </a:ln>
                <a:effectLst/>
              </c:spPr>
            </c:marker>
            <c:bubble3D val="0"/>
            <c:spPr>
              <a:ln w="28575" cap="rnd">
                <a:solidFill>
                  <a:schemeClr val="accent2">
                    <a:lumMod val="40000"/>
                    <a:lumOff val="60000"/>
                  </a:schemeClr>
                </a:solidFill>
                <a:round/>
              </a:ln>
              <a:effectLst/>
            </c:spPr>
            <c:extLst>
              <c:ext xmlns:c16="http://schemas.microsoft.com/office/drawing/2014/chart" uri="{C3380CC4-5D6E-409C-BE32-E72D297353CC}">
                <c16:uniqueId val="{00000000-FF33-408A-9383-934CE406A25C}"/>
              </c:ext>
            </c:extLst>
          </c:dPt>
          <c:dPt>
            <c:idx val="1"/>
            <c:marker>
              <c:symbol val="circle"/>
              <c:size val="5"/>
              <c:spPr>
                <a:solidFill>
                  <a:schemeClr val="accent2">
                    <a:lumMod val="40000"/>
                    <a:lumOff val="60000"/>
                  </a:schemeClr>
                </a:solidFill>
                <a:ln w="9525">
                  <a:solidFill>
                    <a:schemeClr val="accent2">
                      <a:shade val="53000"/>
                    </a:schemeClr>
                  </a:solidFill>
                </a:ln>
                <a:effectLst/>
              </c:spPr>
            </c:marker>
            <c:bubble3D val="0"/>
            <c:spPr>
              <a:ln w="28575" cap="rnd">
                <a:solidFill>
                  <a:schemeClr val="accent2">
                    <a:lumMod val="40000"/>
                    <a:lumOff val="60000"/>
                  </a:schemeClr>
                </a:solidFill>
                <a:round/>
              </a:ln>
              <a:effectLst/>
            </c:spPr>
            <c:extLst>
              <c:ext xmlns:c16="http://schemas.microsoft.com/office/drawing/2014/chart" uri="{C3380CC4-5D6E-409C-BE32-E72D297353CC}">
                <c16:uniqueId val="{00000001-FF33-408A-9383-934CE406A25C}"/>
              </c:ext>
            </c:extLst>
          </c:dPt>
          <c:dPt>
            <c:idx val="2"/>
            <c:marker>
              <c:symbol val="circle"/>
              <c:size val="5"/>
              <c:spPr>
                <a:solidFill>
                  <a:schemeClr val="accent2">
                    <a:lumMod val="40000"/>
                    <a:lumOff val="60000"/>
                  </a:schemeClr>
                </a:solidFill>
                <a:ln w="9525">
                  <a:solidFill>
                    <a:schemeClr val="accent2">
                      <a:shade val="53000"/>
                    </a:schemeClr>
                  </a:solidFill>
                </a:ln>
                <a:effectLst/>
              </c:spPr>
            </c:marker>
            <c:bubble3D val="0"/>
            <c:extLst>
              <c:ext xmlns:c16="http://schemas.microsoft.com/office/drawing/2014/chart" uri="{C3380CC4-5D6E-409C-BE32-E72D297353CC}">
                <c16:uniqueId val="{0000000D-6CC8-423C-8FE4-5A4E28B04E39}"/>
              </c:ext>
            </c:extLst>
          </c:dPt>
          <c:dLbls>
            <c:dLbl>
              <c:idx val="0"/>
              <c:delete val="1"/>
              <c:extLst>
                <c:ext xmlns:c15="http://schemas.microsoft.com/office/drawing/2012/chart" uri="{CE6537A1-D6FC-4f65-9D91-7224C49458BB}">
                  <c15:layout>
                    <c:manualLayout>
                      <c:w val="0.17682134570765659"/>
                      <c:h val="6.9375182268883062E-2"/>
                    </c:manualLayout>
                  </c15:layout>
                </c:ext>
                <c:ext xmlns:c16="http://schemas.microsoft.com/office/drawing/2014/chart" uri="{C3380CC4-5D6E-409C-BE32-E72D297353CC}">
                  <c16:uniqueId val="{00000000-FF33-408A-9383-934CE406A25C}"/>
                </c:ext>
              </c:extLst>
            </c:dLbl>
            <c:dLbl>
              <c:idx val="1"/>
              <c:delete val="1"/>
              <c:extLst>
                <c:ext xmlns:c15="http://schemas.microsoft.com/office/drawing/2012/chart" uri="{CE6537A1-D6FC-4f65-9D91-7224C49458BB}"/>
                <c:ext xmlns:c16="http://schemas.microsoft.com/office/drawing/2014/chart" uri="{C3380CC4-5D6E-409C-BE32-E72D297353CC}">
                  <c16:uniqueId val="{00000001-FF33-408A-9383-934CE406A25C}"/>
                </c:ext>
              </c:extLst>
            </c:dLbl>
            <c:dLbl>
              <c:idx val="2"/>
              <c:layout>
                <c:manualLayout>
                  <c:x val="0"/>
                  <c:y val="-7.0778062508468562E-2"/>
                </c:manualLayout>
              </c:layout>
              <c:dLblPos val="r"/>
              <c:showLegendKey val="0"/>
              <c:showVal val="0"/>
              <c:showCatName val="0"/>
              <c:showSerName val="1"/>
              <c:showPercent val="0"/>
              <c:showBubbleSize val="0"/>
              <c:extLst>
                <c:ext xmlns:c15="http://schemas.microsoft.com/office/drawing/2012/chart" uri="{CE6537A1-D6FC-4f65-9D91-7224C49458BB}">
                  <c15:layout>
                    <c:manualLayout>
                      <c:w val="0.24581663539063589"/>
                      <c:h val="0.1428835652725467"/>
                    </c:manualLayout>
                  </c15:layout>
                </c:ext>
                <c:ext xmlns:c16="http://schemas.microsoft.com/office/drawing/2014/chart" uri="{C3380CC4-5D6E-409C-BE32-E72D297353CC}">
                  <c16:uniqueId val="{0000000D-6CC8-423C-8FE4-5A4E28B04E39}"/>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Pivot!$H$14:$H$17</c:f>
              <c:strCache>
                <c:ptCount val="3"/>
                <c:pt idx="0">
                  <c:v>Jul</c:v>
                </c:pt>
                <c:pt idx="1">
                  <c:v>Agu</c:v>
                </c:pt>
                <c:pt idx="2">
                  <c:v>Sep</c:v>
                </c:pt>
              </c:strCache>
            </c:strRef>
          </c:cat>
          <c:val>
            <c:numRef>
              <c:f>Pivot!$I$14:$I$17</c:f>
              <c:numCache>
                <c:formatCode>General</c:formatCode>
                <c:ptCount val="3"/>
                <c:pt idx="1">
                  <c:v>16450000</c:v>
                </c:pt>
              </c:numCache>
            </c:numRef>
          </c:val>
          <c:smooth val="1"/>
          <c:extLst>
            <c:ext xmlns:c16="http://schemas.microsoft.com/office/drawing/2014/chart" uri="{C3380CC4-5D6E-409C-BE32-E72D297353CC}">
              <c16:uniqueId val="{00000002-FF33-408A-9383-934CE406A25C}"/>
            </c:ext>
          </c:extLst>
        </c:ser>
        <c:ser>
          <c:idx val="1"/>
          <c:order val="1"/>
          <c:tx>
            <c:strRef>
              <c:f>Pivot!$J$12:$J$13</c:f>
              <c:strCache>
                <c:ptCount val="1"/>
                <c:pt idx="0">
                  <c:v>CraftLaminasi 290</c:v>
                </c:pt>
              </c:strCache>
            </c:strRef>
          </c:tx>
          <c:spPr>
            <a:ln w="28575" cap="rnd">
              <a:solidFill>
                <a:schemeClr val="accent2"/>
              </a:solidFill>
              <a:round/>
            </a:ln>
            <a:effectLst/>
          </c:spPr>
          <c:marker>
            <c:symbol val="circle"/>
            <c:size val="5"/>
            <c:spPr>
              <a:solidFill>
                <a:schemeClr val="accent2"/>
              </a:solidFill>
              <a:ln w="9525">
                <a:solidFill>
                  <a:schemeClr val="accent2">
                    <a:shade val="76000"/>
                  </a:schemeClr>
                </a:solidFill>
              </a:ln>
              <a:effectLst/>
            </c:spPr>
          </c:marker>
          <c:dPt>
            <c:idx val="0"/>
            <c:marker>
              <c:symbol val="circle"/>
              <c:size val="5"/>
              <c:spPr>
                <a:solidFill>
                  <a:schemeClr val="accent2"/>
                </a:solidFill>
                <a:ln w="9525">
                  <a:solidFill>
                    <a:schemeClr val="accent2">
                      <a:shade val="76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0-6CC8-423C-8FE4-5A4E28B04E39}"/>
              </c:ext>
            </c:extLst>
          </c:dPt>
          <c:dPt>
            <c:idx val="1"/>
            <c:marker>
              <c:symbol val="circle"/>
              <c:size val="5"/>
              <c:spPr>
                <a:solidFill>
                  <a:schemeClr val="accent2"/>
                </a:solidFill>
                <a:ln w="9525">
                  <a:solidFill>
                    <a:schemeClr val="accent2">
                      <a:shade val="76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1-6CC8-423C-8FE4-5A4E28B04E39}"/>
              </c:ext>
            </c:extLst>
          </c:dPt>
          <c:dPt>
            <c:idx val="2"/>
            <c:marker>
              <c:symbol val="circle"/>
              <c:size val="5"/>
              <c:spPr>
                <a:solidFill>
                  <a:schemeClr val="accent2"/>
                </a:solidFill>
                <a:ln w="9525">
                  <a:solidFill>
                    <a:schemeClr val="accent2">
                      <a:shade val="76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C-6CC8-423C-8FE4-5A4E28B04E39}"/>
              </c:ext>
            </c:extLst>
          </c:dPt>
          <c:dLbls>
            <c:dLbl>
              <c:idx val="0"/>
              <c:delete val="1"/>
              <c:extLst>
                <c:ext xmlns:c15="http://schemas.microsoft.com/office/drawing/2012/chart" uri="{CE6537A1-D6FC-4f65-9D91-7224C49458BB}"/>
                <c:ext xmlns:c16="http://schemas.microsoft.com/office/drawing/2014/chart" uri="{C3380CC4-5D6E-409C-BE32-E72D297353CC}">
                  <c16:uniqueId val="{00000000-6CC8-423C-8FE4-5A4E28B04E39}"/>
                </c:ext>
              </c:extLst>
            </c:dLbl>
            <c:dLbl>
              <c:idx val="1"/>
              <c:delete val="1"/>
              <c:extLst>
                <c:ext xmlns:c15="http://schemas.microsoft.com/office/drawing/2012/chart" uri="{CE6537A1-D6FC-4f65-9D91-7224C49458BB}"/>
                <c:ext xmlns:c16="http://schemas.microsoft.com/office/drawing/2014/chart" uri="{C3380CC4-5D6E-409C-BE32-E72D297353CC}">
                  <c16:uniqueId val="{00000001-6CC8-423C-8FE4-5A4E28B04E39}"/>
                </c:ext>
              </c:extLst>
            </c:dLbl>
            <c:dLbl>
              <c:idx val="2"/>
              <c:layout>
                <c:manualLayout>
                  <c:x val="-5.4169323238332568E-4"/>
                  <c:y val="5.750749145140318E-2"/>
                </c:manualLayout>
              </c:layout>
              <c:showLegendKey val="0"/>
              <c:showVal val="0"/>
              <c:showCatName val="0"/>
              <c:showSerName val="1"/>
              <c:showPercent val="0"/>
              <c:showBubbleSize val="0"/>
              <c:extLst>
                <c:ext xmlns:c15="http://schemas.microsoft.com/office/drawing/2012/chart" uri="{CE6537A1-D6FC-4f65-9D91-7224C49458BB}">
                  <c15:layout>
                    <c:manualLayout>
                      <c:w val="0.21633060928460493"/>
                      <c:h val="0.1428835652725467"/>
                    </c:manualLayout>
                  </c15:layout>
                </c:ext>
                <c:ext xmlns:c16="http://schemas.microsoft.com/office/drawing/2014/chart" uri="{C3380CC4-5D6E-409C-BE32-E72D297353CC}">
                  <c16:uniqueId val="{0000000C-6CC8-423C-8FE4-5A4E28B04E39}"/>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Pivot!$H$14:$H$17</c:f>
              <c:strCache>
                <c:ptCount val="3"/>
                <c:pt idx="0">
                  <c:v>Jul</c:v>
                </c:pt>
                <c:pt idx="1">
                  <c:v>Agu</c:v>
                </c:pt>
                <c:pt idx="2">
                  <c:v>Sep</c:v>
                </c:pt>
              </c:strCache>
            </c:strRef>
          </c:cat>
          <c:val>
            <c:numRef>
              <c:f>Pivot!$J$14:$J$17</c:f>
              <c:numCache>
                <c:formatCode>General</c:formatCode>
                <c:ptCount val="3"/>
                <c:pt idx="1">
                  <c:v>8500000</c:v>
                </c:pt>
                <c:pt idx="2">
                  <c:v>48950000</c:v>
                </c:pt>
              </c:numCache>
            </c:numRef>
          </c:val>
          <c:smooth val="1"/>
          <c:extLst>
            <c:ext xmlns:c16="http://schemas.microsoft.com/office/drawing/2014/chart" uri="{C3380CC4-5D6E-409C-BE32-E72D297353CC}">
              <c16:uniqueId val="{00000011-FF33-408A-9383-934CE406A25C}"/>
            </c:ext>
          </c:extLst>
        </c:ser>
        <c:ser>
          <c:idx val="2"/>
          <c:order val="2"/>
          <c:tx>
            <c:strRef>
              <c:f>Pivot!$K$12:$K$13</c:f>
              <c:strCache>
                <c:ptCount val="1"/>
                <c:pt idx="0">
                  <c:v>Dupleks 310</c:v>
                </c:pt>
              </c:strCache>
            </c:strRef>
          </c:tx>
          <c:spPr>
            <a:ln w="28575" cap="rnd">
              <a:solidFill>
                <a:srgbClr val="FFC000"/>
              </a:solidFill>
              <a:round/>
            </a:ln>
            <a:effectLst/>
          </c:spPr>
          <c:marker>
            <c:symbol val="circle"/>
            <c:size val="5"/>
            <c:spPr>
              <a:solidFill>
                <a:srgbClr val="FFFF00"/>
              </a:solidFill>
              <a:ln w="9525">
                <a:solidFill>
                  <a:schemeClr val="accent2"/>
                </a:solidFill>
              </a:ln>
              <a:effectLst/>
            </c:spPr>
          </c:marker>
          <c:dPt>
            <c:idx val="0"/>
            <c:marker>
              <c:symbol val="circle"/>
              <c:size val="5"/>
              <c:spPr>
                <a:solidFill>
                  <a:srgbClr val="FFFF00"/>
                </a:solidFill>
                <a:ln w="9525">
                  <a:solidFill>
                    <a:schemeClr val="accent2"/>
                  </a:solidFill>
                </a:ln>
                <a:effectLst/>
              </c:spPr>
            </c:marker>
            <c:bubble3D val="0"/>
            <c:spPr>
              <a:ln w="28575" cap="rnd">
                <a:solidFill>
                  <a:srgbClr val="FFC000"/>
                </a:solidFill>
                <a:round/>
              </a:ln>
              <a:effectLst/>
            </c:spPr>
            <c:extLst>
              <c:ext xmlns:c16="http://schemas.microsoft.com/office/drawing/2014/chart" uri="{C3380CC4-5D6E-409C-BE32-E72D297353CC}">
                <c16:uniqueId val="{00000002-6CC8-423C-8FE4-5A4E28B04E39}"/>
              </c:ext>
            </c:extLst>
          </c:dPt>
          <c:dPt>
            <c:idx val="1"/>
            <c:marker>
              <c:symbol val="circle"/>
              <c:size val="5"/>
              <c:spPr>
                <a:solidFill>
                  <a:srgbClr val="FFFF00"/>
                </a:solidFill>
                <a:ln w="9525">
                  <a:solidFill>
                    <a:schemeClr val="accent2"/>
                  </a:solidFill>
                </a:ln>
                <a:effectLst/>
              </c:spPr>
            </c:marker>
            <c:bubble3D val="0"/>
            <c:spPr>
              <a:ln w="28575" cap="rnd">
                <a:solidFill>
                  <a:srgbClr val="FFC000"/>
                </a:solidFill>
                <a:round/>
              </a:ln>
              <a:effectLst/>
            </c:spPr>
            <c:extLst>
              <c:ext xmlns:c16="http://schemas.microsoft.com/office/drawing/2014/chart" uri="{C3380CC4-5D6E-409C-BE32-E72D297353CC}">
                <c16:uniqueId val="{00000003-6CC8-423C-8FE4-5A4E28B04E39}"/>
              </c:ext>
            </c:extLst>
          </c:dPt>
          <c:dPt>
            <c:idx val="2"/>
            <c:marker>
              <c:symbol val="circle"/>
              <c:size val="5"/>
              <c:spPr>
                <a:solidFill>
                  <a:srgbClr val="FFFF00"/>
                </a:solidFill>
                <a:ln w="9525">
                  <a:solidFill>
                    <a:schemeClr val="accent2"/>
                  </a:solidFill>
                </a:ln>
                <a:effectLst/>
              </c:spPr>
            </c:marker>
            <c:bubble3D val="0"/>
            <c:spPr>
              <a:ln w="28575" cap="rnd">
                <a:solidFill>
                  <a:srgbClr val="FFC000"/>
                </a:solidFill>
                <a:round/>
              </a:ln>
              <a:effectLst/>
            </c:spPr>
            <c:extLst>
              <c:ext xmlns:c16="http://schemas.microsoft.com/office/drawing/2014/chart" uri="{C3380CC4-5D6E-409C-BE32-E72D297353CC}">
                <c16:uniqueId val="{0000000B-6CC8-423C-8FE4-5A4E28B04E39}"/>
              </c:ext>
            </c:extLst>
          </c:dPt>
          <c:dLbls>
            <c:dLbl>
              <c:idx val="0"/>
              <c:delete val="1"/>
              <c:extLst>
                <c:ext xmlns:c15="http://schemas.microsoft.com/office/drawing/2012/chart" uri="{CE6537A1-D6FC-4f65-9D91-7224C49458BB}"/>
                <c:ext xmlns:c16="http://schemas.microsoft.com/office/drawing/2014/chart" uri="{C3380CC4-5D6E-409C-BE32-E72D297353CC}">
                  <c16:uniqueId val="{00000002-6CC8-423C-8FE4-5A4E28B04E39}"/>
                </c:ext>
              </c:extLst>
            </c:dLbl>
            <c:dLbl>
              <c:idx val="1"/>
              <c:delete val="1"/>
              <c:extLst>
                <c:ext xmlns:c15="http://schemas.microsoft.com/office/drawing/2012/chart" uri="{CE6537A1-D6FC-4f65-9D91-7224C49458BB}"/>
                <c:ext xmlns:c16="http://schemas.microsoft.com/office/drawing/2014/chart" uri="{C3380CC4-5D6E-409C-BE32-E72D297353CC}">
                  <c16:uniqueId val="{00000003-6CC8-423C-8FE4-5A4E28B04E39}"/>
                </c:ext>
              </c:extLst>
            </c:dLbl>
            <c:dLbl>
              <c:idx val="2"/>
              <c:layout>
                <c:manualLayout>
                  <c:x val="-1.5889484593228962E-16"/>
                  <c:y val="-8.8472795834394664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6CC8-423C-8FE4-5A4E28B04E39}"/>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Pivot!$H$14:$H$17</c:f>
              <c:strCache>
                <c:ptCount val="3"/>
                <c:pt idx="0">
                  <c:v>Jul</c:v>
                </c:pt>
                <c:pt idx="1">
                  <c:v>Agu</c:v>
                </c:pt>
                <c:pt idx="2">
                  <c:v>Sep</c:v>
                </c:pt>
              </c:strCache>
            </c:strRef>
          </c:cat>
          <c:val>
            <c:numRef>
              <c:f>Pivot!$K$14:$K$17</c:f>
              <c:numCache>
                <c:formatCode>General</c:formatCode>
                <c:ptCount val="3"/>
                <c:pt idx="0">
                  <c:v>1550000</c:v>
                </c:pt>
                <c:pt idx="1">
                  <c:v>28370000</c:v>
                </c:pt>
                <c:pt idx="2">
                  <c:v>20975000</c:v>
                </c:pt>
              </c:numCache>
            </c:numRef>
          </c:val>
          <c:smooth val="1"/>
          <c:extLst>
            <c:ext xmlns:c16="http://schemas.microsoft.com/office/drawing/2014/chart" uri="{C3380CC4-5D6E-409C-BE32-E72D297353CC}">
              <c16:uniqueId val="{00000012-FF33-408A-9383-934CE406A25C}"/>
            </c:ext>
          </c:extLst>
        </c:ser>
        <c:ser>
          <c:idx val="3"/>
          <c:order val="3"/>
          <c:tx>
            <c:strRef>
              <c:f>Pivot!$L$12:$L$13</c:f>
              <c:strCache>
                <c:ptCount val="1"/>
                <c:pt idx="0">
                  <c:v>Dupleks 350</c:v>
                </c:pt>
              </c:strCache>
            </c:strRef>
          </c:tx>
          <c:spPr>
            <a:ln w="28575" cap="rnd">
              <a:solidFill>
                <a:schemeClr val="bg2"/>
              </a:solidFill>
              <a:round/>
            </a:ln>
            <a:effectLst/>
          </c:spPr>
          <c:marker>
            <c:symbol val="circle"/>
            <c:size val="5"/>
            <c:spPr>
              <a:solidFill>
                <a:schemeClr val="bg1"/>
              </a:solidFill>
              <a:ln w="9525">
                <a:solidFill>
                  <a:schemeClr val="accent2">
                    <a:tint val="77000"/>
                  </a:schemeClr>
                </a:solidFill>
              </a:ln>
              <a:effectLst/>
            </c:spPr>
          </c:marker>
          <c:dPt>
            <c:idx val="0"/>
            <c:marker>
              <c:symbol val="circle"/>
              <c:size val="5"/>
              <c:spPr>
                <a:solidFill>
                  <a:schemeClr val="bg1"/>
                </a:solidFill>
                <a:ln w="9525">
                  <a:solidFill>
                    <a:schemeClr val="accent2">
                      <a:tint val="77000"/>
                    </a:schemeClr>
                  </a:solidFill>
                </a:ln>
                <a:effectLst/>
              </c:spPr>
            </c:marker>
            <c:bubble3D val="0"/>
            <c:spPr>
              <a:ln w="28575" cap="rnd">
                <a:solidFill>
                  <a:schemeClr val="bg2"/>
                </a:solidFill>
                <a:round/>
              </a:ln>
              <a:effectLst/>
            </c:spPr>
            <c:extLst>
              <c:ext xmlns:c16="http://schemas.microsoft.com/office/drawing/2014/chart" uri="{C3380CC4-5D6E-409C-BE32-E72D297353CC}">
                <c16:uniqueId val="{00000004-6CC8-423C-8FE4-5A4E28B04E39}"/>
              </c:ext>
            </c:extLst>
          </c:dPt>
          <c:dPt>
            <c:idx val="1"/>
            <c:marker>
              <c:symbol val="circle"/>
              <c:size val="5"/>
              <c:spPr>
                <a:solidFill>
                  <a:schemeClr val="bg1"/>
                </a:solidFill>
                <a:ln w="9525">
                  <a:solidFill>
                    <a:schemeClr val="accent2">
                      <a:tint val="77000"/>
                    </a:schemeClr>
                  </a:solidFill>
                </a:ln>
                <a:effectLst/>
              </c:spPr>
            </c:marker>
            <c:bubble3D val="0"/>
            <c:spPr>
              <a:ln w="28575" cap="rnd">
                <a:solidFill>
                  <a:schemeClr val="bg2"/>
                </a:solidFill>
                <a:round/>
              </a:ln>
              <a:effectLst/>
            </c:spPr>
            <c:extLst>
              <c:ext xmlns:c16="http://schemas.microsoft.com/office/drawing/2014/chart" uri="{C3380CC4-5D6E-409C-BE32-E72D297353CC}">
                <c16:uniqueId val="{00000005-6CC8-423C-8FE4-5A4E28B04E39}"/>
              </c:ext>
            </c:extLst>
          </c:dPt>
          <c:dPt>
            <c:idx val="2"/>
            <c:marker>
              <c:symbol val="circle"/>
              <c:size val="5"/>
              <c:spPr>
                <a:solidFill>
                  <a:schemeClr val="bg1"/>
                </a:solidFill>
                <a:ln w="9525">
                  <a:solidFill>
                    <a:schemeClr val="accent2">
                      <a:tint val="77000"/>
                    </a:schemeClr>
                  </a:solidFill>
                </a:ln>
                <a:effectLst/>
              </c:spPr>
            </c:marker>
            <c:bubble3D val="0"/>
            <c:spPr>
              <a:ln w="28575" cap="rnd">
                <a:solidFill>
                  <a:schemeClr val="bg2"/>
                </a:solidFill>
                <a:round/>
              </a:ln>
              <a:effectLst/>
            </c:spPr>
            <c:extLst>
              <c:ext xmlns:c16="http://schemas.microsoft.com/office/drawing/2014/chart" uri="{C3380CC4-5D6E-409C-BE32-E72D297353CC}">
                <c16:uniqueId val="{0000000A-6CC8-423C-8FE4-5A4E28B04E39}"/>
              </c:ext>
            </c:extLst>
          </c:dPt>
          <c:dLbls>
            <c:dLbl>
              <c:idx val="0"/>
              <c:delete val="1"/>
              <c:extLst>
                <c:ext xmlns:c15="http://schemas.microsoft.com/office/drawing/2012/chart" uri="{CE6537A1-D6FC-4f65-9D91-7224C49458BB}"/>
                <c:ext xmlns:c16="http://schemas.microsoft.com/office/drawing/2014/chart" uri="{C3380CC4-5D6E-409C-BE32-E72D297353CC}">
                  <c16:uniqueId val="{00000004-6CC8-423C-8FE4-5A4E28B04E39}"/>
                </c:ext>
              </c:extLst>
            </c:dLbl>
            <c:dLbl>
              <c:idx val="1"/>
              <c:delete val="1"/>
              <c:extLst>
                <c:ext xmlns:c15="http://schemas.microsoft.com/office/drawing/2012/chart" uri="{CE6537A1-D6FC-4f65-9D91-7224C49458BB}"/>
                <c:ext xmlns:c16="http://schemas.microsoft.com/office/drawing/2014/chart" uri="{C3380CC4-5D6E-409C-BE32-E72D297353CC}">
                  <c16:uniqueId val="{00000005-6CC8-423C-8FE4-5A4E28B04E39}"/>
                </c:ext>
              </c:extLst>
            </c:dLbl>
            <c:dLbl>
              <c:idx val="2"/>
              <c:layout>
                <c:manualLayout>
                  <c:x val="6.5003187885997495E-3"/>
                  <c:y val="-1.3270919375159137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CC8-423C-8FE4-5A4E28B04E39}"/>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Pivot!$H$14:$H$17</c:f>
              <c:strCache>
                <c:ptCount val="3"/>
                <c:pt idx="0">
                  <c:v>Jul</c:v>
                </c:pt>
                <c:pt idx="1">
                  <c:v>Agu</c:v>
                </c:pt>
                <c:pt idx="2">
                  <c:v>Sep</c:v>
                </c:pt>
              </c:strCache>
            </c:strRef>
          </c:cat>
          <c:val>
            <c:numRef>
              <c:f>Pivot!$L$14:$L$17</c:f>
              <c:numCache>
                <c:formatCode>General</c:formatCode>
                <c:ptCount val="3"/>
                <c:pt idx="1">
                  <c:v>8850000</c:v>
                </c:pt>
                <c:pt idx="2">
                  <c:v>21200000</c:v>
                </c:pt>
              </c:numCache>
            </c:numRef>
          </c:val>
          <c:smooth val="1"/>
          <c:extLst>
            <c:ext xmlns:c16="http://schemas.microsoft.com/office/drawing/2014/chart" uri="{C3380CC4-5D6E-409C-BE32-E72D297353CC}">
              <c16:uniqueId val="{00000013-FF33-408A-9383-934CE406A25C}"/>
            </c:ext>
          </c:extLst>
        </c:ser>
        <c:ser>
          <c:idx val="4"/>
          <c:order val="4"/>
          <c:tx>
            <c:strRef>
              <c:f>Pivot!$M$12:$M$13</c:f>
              <c:strCache>
                <c:ptCount val="1"/>
                <c:pt idx="0">
                  <c:v>Foodpak 260Glossy</c:v>
                </c:pt>
              </c:strCache>
            </c:strRef>
          </c:tx>
          <c:spPr>
            <a:ln w="28575" cap="rnd">
              <a:solidFill>
                <a:srgbClr val="C00000"/>
              </a:solidFill>
              <a:round/>
            </a:ln>
            <a:effectLst/>
          </c:spPr>
          <c:marker>
            <c:symbol val="circle"/>
            <c:size val="5"/>
            <c:spPr>
              <a:solidFill>
                <a:srgbClr val="FF0000"/>
              </a:solidFill>
              <a:ln w="9525">
                <a:solidFill>
                  <a:schemeClr val="accent2">
                    <a:tint val="54000"/>
                  </a:schemeClr>
                </a:solidFill>
              </a:ln>
              <a:effectLst/>
            </c:spPr>
          </c:marker>
          <c:dPt>
            <c:idx val="0"/>
            <c:marker>
              <c:symbol val="circle"/>
              <c:size val="5"/>
              <c:spPr>
                <a:solidFill>
                  <a:srgbClr val="FF0000"/>
                </a:solidFill>
                <a:ln w="9525">
                  <a:solidFill>
                    <a:schemeClr val="accent2">
                      <a:tint val="54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6-6CC8-423C-8FE4-5A4E28B04E39}"/>
              </c:ext>
            </c:extLst>
          </c:dPt>
          <c:dPt>
            <c:idx val="1"/>
            <c:marker>
              <c:symbol val="circle"/>
              <c:size val="5"/>
              <c:spPr>
                <a:solidFill>
                  <a:srgbClr val="FF0000"/>
                </a:solidFill>
                <a:ln w="9525">
                  <a:solidFill>
                    <a:schemeClr val="accent2">
                      <a:tint val="54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7-6CC8-423C-8FE4-5A4E28B04E39}"/>
              </c:ext>
            </c:extLst>
          </c:dPt>
          <c:dPt>
            <c:idx val="2"/>
            <c:marker>
              <c:symbol val="circle"/>
              <c:size val="5"/>
              <c:spPr>
                <a:solidFill>
                  <a:srgbClr val="FF0000"/>
                </a:solidFill>
                <a:ln w="9525">
                  <a:solidFill>
                    <a:schemeClr val="accent2">
                      <a:tint val="54000"/>
                    </a:schemeClr>
                  </a:solidFill>
                </a:ln>
                <a:effectLst/>
              </c:spPr>
            </c:marker>
            <c:bubble3D val="0"/>
            <c:spPr>
              <a:ln w="28575" cap="rnd">
                <a:solidFill>
                  <a:srgbClr val="C00000"/>
                </a:solidFill>
                <a:round/>
              </a:ln>
              <a:effectLst/>
            </c:spPr>
            <c:extLst>
              <c:ext xmlns:c16="http://schemas.microsoft.com/office/drawing/2014/chart" uri="{C3380CC4-5D6E-409C-BE32-E72D297353CC}">
                <c16:uniqueId val="{00000009-6CC8-423C-8FE4-5A4E28B04E39}"/>
              </c:ext>
            </c:extLst>
          </c:dPt>
          <c:dLbls>
            <c:dLbl>
              <c:idx val="0"/>
              <c:delete val="1"/>
              <c:extLst>
                <c:ext xmlns:c15="http://schemas.microsoft.com/office/drawing/2012/chart" uri="{CE6537A1-D6FC-4f65-9D91-7224C49458BB}"/>
                <c:ext xmlns:c16="http://schemas.microsoft.com/office/drawing/2014/chart" uri="{C3380CC4-5D6E-409C-BE32-E72D297353CC}">
                  <c16:uniqueId val="{00000006-6CC8-423C-8FE4-5A4E28B04E39}"/>
                </c:ext>
              </c:extLst>
            </c:dLbl>
            <c:dLbl>
              <c:idx val="1"/>
              <c:delete val="1"/>
              <c:extLst>
                <c:ext xmlns:c15="http://schemas.microsoft.com/office/drawing/2012/chart" uri="{CE6537A1-D6FC-4f65-9D91-7224C49458BB}"/>
                <c:ext xmlns:c16="http://schemas.microsoft.com/office/drawing/2014/chart" uri="{C3380CC4-5D6E-409C-BE32-E72D297353CC}">
                  <c16:uniqueId val="{00000007-6CC8-423C-8FE4-5A4E28B04E39}"/>
                </c:ext>
              </c:extLst>
            </c:dLbl>
            <c:dLbl>
              <c:idx val="2"/>
              <c:layout>
                <c:manualLayout>
                  <c:x val="-0.16792490203883095"/>
                  <c:y val="-2.84002899399813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9131886691083525"/>
                      <c:h val="0.1428835652725467"/>
                    </c:manualLayout>
                  </c15:layout>
                </c:ext>
                <c:ext xmlns:c16="http://schemas.microsoft.com/office/drawing/2014/chart" uri="{C3380CC4-5D6E-409C-BE32-E72D297353CC}">
                  <c16:uniqueId val="{00000009-6CC8-423C-8FE4-5A4E28B04E3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Pivot!$H$14:$H$17</c:f>
              <c:strCache>
                <c:ptCount val="3"/>
                <c:pt idx="0">
                  <c:v>Jul</c:v>
                </c:pt>
                <c:pt idx="1">
                  <c:v>Agu</c:v>
                </c:pt>
                <c:pt idx="2">
                  <c:v>Sep</c:v>
                </c:pt>
              </c:strCache>
            </c:strRef>
          </c:cat>
          <c:val>
            <c:numRef>
              <c:f>Pivot!$M$14:$M$17</c:f>
              <c:numCache>
                <c:formatCode>General</c:formatCode>
                <c:ptCount val="3"/>
                <c:pt idx="2">
                  <c:v>13850000</c:v>
                </c:pt>
              </c:numCache>
            </c:numRef>
          </c:val>
          <c:smooth val="1"/>
          <c:extLst>
            <c:ext xmlns:c16="http://schemas.microsoft.com/office/drawing/2014/chart" uri="{C3380CC4-5D6E-409C-BE32-E72D297353CC}">
              <c16:uniqueId val="{00000014-FF33-408A-9383-934CE406A25C}"/>
            </c:ext>
          </c:extLst>
        </c:ser>
        <c:dLbls>
          <c:showLegendKey val="0"/>
          <c:showVal val="1"/>
          <c:showCatName val="0"/>
          <c:showSerName val="0"/>
          <c:showPercent val="0"/>
          <c:showBubbleSize val="0"/>
        </c:dLbls>
        <c:marker val="1"/>
        <c:smooth val="0"/>
        <c:axId val="889906255"/>
        <c:axId val="889902927"/>
      </c:lineChart>
      <c:catAx>
        <c:axId val="88990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889902927"/>
        <c:crosses val="autoZero"/>
        <c:auto val="1"/>
        <c:lblAlgn val="ctr"/>
        <c:lblOffset val="100"/>
        <c:noMultiLvlLbl val="0"/>
      </c:catAx>
      <c:valAx>
        <c:axId val="889902927"/>
        <c:scaling>
          <c:orientation val="minMax"/>
        </c:scaling>
        <c:delete val="1"/>
        <c:axPos val="l"/>
        <c:numFmt formatCode="General" sourceLinked="1"/>
        <c:majorTickMark val="none"/>
        <c:minorTickMark val="none"/>
        <c:tickLblPos val="nextTo"/>
        <c:crossAx val="88990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[HoP_Dataset (Practice).xlsx]Pivot!PivotTable7</c:name>
    <c:fmtId val="8"/>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92392801813276E-2"/>
          <c:y val="0.12741652796645012"/>
          <c:w val="0.93914584197738982"/>
          <c:h val="0.56160082762571606"/>
        </c:manualLayout>
      </c:layout>
      <c:barChart>
        <c:barDir val="col"/>
        <c:grouping val="stacked"/>
        <c:varyColors val="0"/>
        <c:ser>
          <c:idx val="0"/>
          <c:order val="0"/>
          <c:tx>
            <c:strRef>
              <c:f>Pivot!$F$21</c:f>
              <c:strCache>
                <c:ptCount val="1"/>
                <c:pt idx="0">
                  <c:v>Total</c:v>
                </c:pt>
              </c:strCache>
            </c:strRef>
          </c:tx>
          <c:spPr>
            <a:solidFill>
              <a:schemeClr val="bg1"/>
            </a:solidFill>
            <a:ln>
              <a:noFill/>
            </a:ln>
            <a:effectLst/>
          </c:spPr>
          <c:invertIfNegative val="0"/>
          <c:cat>
            <c:strRef>
              <c:f>Pivot!$E$22:$E$25</c:f>
              <c:strCache>
                <c:ptCount val="3"/>
                <c:pt idx="0">
                  <c:v>Dupleks 350</c:v>
                </c:pt>
                <c:pt idx="1">
                  <c:v>Dupleks 270</c:v>
                </c:pt>
                <c:pt idx="2">
                  <c:v>CraftLaminasi</c:v>
                </c:pt>
              </c:strCache>
            </c:strRef>
          </c:cat>
          <c:val>
            <c:numRef>
              <c:f>Pivot!$F$22:$F$25</c:f>
              <c:numCache>
                <c:formatCode>General</c:formatCode>
                <c:ptCount val="3"/>
                <c:pt idx="0">
                  <c:v>30050000</c:v>
                </c:pt>
                <c:pt idx="1">
                  <c:v>4800000</c:v>
                </c:pt>
                <c:pt idx="2">
                  <c:v>1200000</c:v>
                </c:pt>
              </c:numCache>
            </c:numRef>
          </c:val>
          <c:extLst>
            <c:ext xmlns:c16="http://schemas.microsoft.com/office/drawing/2014/chart" uri="{C3380CC4-5D6E-409C-BE32-E72D297353CC}">
              <c16:uniqueId val="{00000000-0C38-48DF-A7D2-B06C0EA0AEDD}"/>
            </c:ext>
          </c:extLst>
        </c:ser>
        <c:dLbls>
          <c:showLegendKey val="0"/>
          <c:showVal val="0"/>
          <c:showCatName val="0"/>
          <c:showSerName val="0"/>
          <c:showPercent val="0"/>
          <c:showBubbleSize val="0"/>
        </c:dLbls>
        <c:gapWidth val="219"/>
        <c:overlap val="100"/>
        <c:axId val="889907919"/>
        <c:axId val="889903759"/>
      </c:barChart>
      <c:catAx>
        <c:axId val="889907919"/>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9903759"/>
        <c:crosses val="autoZero"/>
        <c:auto val="1"/>
        <c:lblAlgn val="ctr"/>
        <c:lblOffset val="100"/>
        <c:noMultiLvlLbl val="0"/>
      </c:catAx>
      <c:valAx>
        <c:axId val="889903759"/>
        <c:scaling>
          <c:orientation val="minMax"/>
        </c:scaling>
        <c:delete val="1"/>
        <c:axPos val="l"/>
        <c:numFmt formatCode="General" sourceLinked="1"/>
        <c:majorTickMark val="none"/>
        <c:minorTickMark val="none"/>
        <c:tickLblPos val="nextTo"/>
        <c:crossAx val="88990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[HoP_Dataset (Practice).xlsx]Pivot!PivotTable1</c:name>
    <c:fmtId val="2"/>
  </c:pivotSource>
  <c:chart>
    <c:autoTitleDeleted val="1"/>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numFmt formatCode="_(&quot;Rp&quot;* #,##0.00_);_(&quot;Rp&quot;* \(#,##0.00\);_(&quot;Rp&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Pivot!$B$3</c:f>
              <c:strCache>
                <c:ptCount val="1"/>
                <c:pt idx="0">
                  <c:v>Total</c:v>
                </c:pt>
              </c:strCache>
            </c:strRef>
          </c:tx>
          <c:spPr>
            <a:ln w="28575" cap="rnd">
              <a:solidFill>
                <a:schemeClr val="bg2"/>
              </a:solidFill>
              <a:round/>
            </a:ln>
            <a:effectLst/>
          </c:spPr>
          <c:marker>
            <c:symbol val="circle"/>
            <c:size val="5"/>
            <c:spPr>
              <a:solidFill>
                <a:schemeClr val="bg1"/>
              </a:solidFill>
              <a:ln w="9525">
                <a:solidFill>
                  <a:schemeClr val="accent2"/>
                </a:solidFill>
              </a:ln>
              <a:effectLst/>
            </c:spPr>
          </c:marker>
          <c:cat>
            <c:multiLvlStrRef>
              <c:f>Pivot!$A$4:$A$31</c:f>
              <c:multiLvlStrCache>
                <c:ptCount val="24"/>
                <c:lvl>
                  <c:pt idx="0">
                    <c:v>08-Jul</c:v>
                  </c:pt>
                  <c:pt idx="1">
                    <c:v>05-Agu</c:v>
                  </c:pt>
                  <c:pt idx="2">
                    <c:v>08-Agu</c:v>
                  </c:pt>
                  <c:pt idx="3">
                    <c:v>09-Agu</c:v>
                  </c:pt>
                  <c:pt idx="4">
                    <c:v>10-Agu</c:v>
                  </c:pt>
                  <c:pt idx="5">
                    <c:v>11-Agu</c:v>
                  </c:pt>
                  <c:pt idx="6">
                    <c:v>12-Agu</c:v>
                  </c:pt>
                  <c:pt idx="7">
                    <c:v>13-Agu</c:v>
                  </c:pt>
                  <c:pt idx="8">
                    <c:v>15-Agu</c:v>
                  </c:pt>
                  <c:pt idx="9">
                    <c:v>16-Agu</c:v>
                  </c:pt>
                  <c:pt idx="10">
                    <c:v>18-Agu</c:v>
                  </c:pt>
                  <c:pt idx="11">
                    <c:v>22-Agu</c:v>
                  </c:pt>
                  <c:pt idx="12">
                    <c:v>29-Agu</c:v>
                  </c:pt>
                  <c:pt idx="13">
                    <c:v>30-Agu</c:v>
                  </c:pt>
                  <c:pt idx="14">
                    <c:v>31-Agu</c:v>
                  </c:pt>
                  <c:pt idx="15">
                    <c:v>01-Sep</c:v>
                  </c:pt>
                  <c:pt idx="16">
                    <c:v>02-Sep</c:v>
                  </c:pt>
                  <c:pt idx="17">
                    <c:v>03-Sep</c:v>
                  </c:pt>
                  <c:pt idx="18">
                    <c:v>05-Sep</c:v>
                  </c:pt>
                  <c:pt idx="19">
                    <c:v>07-Sep</c:v>
                  </c:pt>
                  <c:pt idx="20">
                    <c:v>08-Sep</c:v>
                  </c:pt>
                  <c:pt idx="21">
                    <c:v>14-Sep</c:v>
                  </c:pt>
                  <c:pt idx="22">
                    <c:v>19-Sep</c:v>
                  </c:pt>
                  <c:pt idx="23">
                    <c:v>24-Sep</c:v>
                  </c:pt>
                </c:lvl>
                <c:lvl>
                  <c:pt idx="0">
                    <c:v>Jul</c:v>
                  </c:pt>
                  <c:pt idx="1">
                    <c:v>Agu</c:v>
                  </c:pt>
                  <c:pt idx="15">
                    <c:v>Sep</c:v>
                  </c:pt>
                </c:lvl>
              </c:multiLvlStrCache>
            </c:multiLvlStrRef>
          </c:cat>
          <c:val>
            <c:numRef>
              <c:f>Pivot!$B$4:$B$31</c:f>
              <c:numCache>
                <c:formatCode>General</c:formatCode>
                <c:ptCount val="24"/>
                <c:pt idx="0">
                  <c:v>1550000</c:v>
                </c:pt>
                <c:pt idx="1">
                  <c:v>8650000</c:v>
                </c:pt>
                <c:pt idx="2">
                  <c:v>4350000</c:v>
                </c:pt>
                <c:pt idx="3">
                  <c:v>1900000</c:v>
                </c:pt>
                <c:pt idx="4">
                  <c:v>2800000</c:v>
                </c:pt>
                <c:pt idx="5">
                  <c:v>5250000</c:v>
                </c:pt>
                <c:pt idx="6">
                  <c:v>8100000</c:v>
                </c:pt>
                <c:pt idx="7">
                  <c:v>450000</c:v>
                </c:pt>
                <c:pt idx="8">
                  <c:v>21225000</c:v>
                </c:pt>
                <c:pt idx="9">
                  <c:v>8450000</c:v>
                </c:pt>
                <c:pt idx="10">
                  <c:v>4325000</c:v>
                </c:pt>
                <c:pt idx="11">
                  <c:v>27645000</c:v>
                </c:pt>
                <c:pt idx="12">
                  <c:v>6250000</c:v>
                </c:pt>
                <c:pt idx="13">
                  <c:v>10650000</c:v>
                </c:pt>
                <c:pt idx="14">
                  <c:v>2000000</c:v>
                </c:pt>
                <c:pt idx="15">
                  <c:v>1900000</c:v>
                </c:pt>
                <c:pt idx="16">
                  <c:v>10890000</c:v>
                </c:pt>
                <c:pt idx="17">
                  <c:v>10700000</c:v>
                </c:pt>
                <c:pt idx="18">
                  <c:v>8300000</c:v>
                </c:pt>
                <c:pt idx="19">
                  <c:v>6800000</c:v>
                </c:pt>
                <c:pt idx="20">
                  <c:v>17550000</c:v>
                </c:pt>
                <c:pt idx="21">
                  <c:v>26200000</c:v>
                </c:pt>
                <c:pt idx="22">
                  <c:v>39675000</c:v>
                </c:pt>
                <c:pt idx="23">
                  <c:v>17950000</c:v>
                </c:pt>
              </c:numCache>
            </c:numRef>
          </c:val>
          <c:smooth val="1"/>
          <c:extLst>
            <c:ext xmlns:c16="http://schemas.microsoft.com/office/drawing/2014/chart" uri="{C3380CC4-5D6E-409C-BE32-E72D297353CC}">
              <c16:uniqueId val="{00000000-A0AA-404D-A7F6-BF2907185298}"/>
            </c:ext>
          </c:extLst>
        </c:ser>
        <c:dLbls>
          <c:showLegendKey val="0"/>
          <c:showVal val="0"/>
          <c:showCatName val="0"/>
          <c:showSerName val="0"/>
          <c:showPercent val="0"/>
          <c:showBubbleSize val="0"/>
        </c:dLbls>
        <c:marker val="1"/>
        <c:smooth val="0"/>
        <c:axId val="524537679"/>
        <c:axId val="524541839"/>
      </c:lineChart>
      <c:catAx>
        <c:axId val="524537679"/>
        <c:scaling>
          <c:orientation val="minMax"/>
        </c:scaling>
        <c:delete val="1"/>
        <c:axPos val="b"/>
        <c:numFmt formatCode="General" sourceLinked="1"/>
        <c:majorTickMark val="out"/>
        <c:minorTickMark val="none"/>
        <c:tickLblPos val="nextTo"/>
        <c:crossAx val="524541839"/>
        <c:crosses val="autoZero"/>
        <c:auto val="1"/>
        <c:lblAlgn val="ctr"/>
        <c:lblOffset val="100"/>
        <c:noMultiLvlLbl val="0"/>
      </c:catAx>
      <c:valAx>
        <c:axId val="524541839"/>
        <c:scaling>
          <c:orientation val="minMax"/>
        </c:scaling>
        <c:delete val="1"/>
        <c:axPos val="l"/>
        <c:numFmt formatCode="General" sourceLinked="1"/>
        <c:majorTickMark val="out"/>
        <c:minorTickMark val="none"/>
        <c:tickLblPos val="nextTo"/>
        <c:crossAx val="5245376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[HoP_Dataset (Practice).xlsx]Pivot!PivotTable3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rgbClr val="FFFF00"/>
          </a:solidFill>
          <a:ln w="19050">
            <a:noFill/>
          </a:ln>
          <a:effectLst/>
        </c:spPr>
        <c:dLbl>
          <c:idx val="0"/>
          <c:layout>
            <c:manualLayout>
              <c:x val="-4.0120664603048924E-2"/>
              <c:y val="0"/>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8764920339780298"/>
                  <c:h val="0.29540361329241493"/>
                </c:manualLayout>
              </c15:layout>
            </c:ext>
          </c:extLst>
        </c:dLbl>
      </c:pivotFmt>
      <c:pivotFmt>
        <c:idx val="9"/>
        <c:spPr>
          <a:solidFill>
            <a:schemeClr val="accent1"/>
          </a:solidFill>
          <a:ln w="19050">
            <a:noFill/>
          </a:ln>
          <a:effectLst/>
        </c:spPr>
        <c:dLbl>
          <c:idx val="0"/>
          <c:layout>
            <c:manualLayout>
              <c:x val="2.3227753191238897E-2"/>
              <c:y val="-5.544554671573816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4">
              <a:lumMod val="40000"/>
              <a:lumOff val="60000"/>
            </a:schemeClr>
          </a:solidFill>
          <a:ln w="19050">
            <a:noFill/>
          </a:ln>
          <a:effectLst/>
        </c:spPr>
        <c:dLbl>
          <c:idx val="0"/>
          <c:layout>
            <c:manualLayout>
              <c:x val="5.4901962088382848E-2"/>
              <c:y val="-1.0396040009200904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7684306069626397"/>
                  <c:h val="0.26421549326481225"/>
                </c:manualLayout>
              </c15:layout>
            </c:ext>
          </c:extLst>
        </c:dLbl>
      </c:pivotFmt>
      <c:pivotFmt>
        <c:idx val="11"/>
        <c:spPr>
          <a:solidFill>
            <a:srgbClr val="FF0000"/>
          </a:solidFill>
          <a:ln w="19050">
            <a:noFill/>
          </a:ln>
          <a:effectLst/>
        </c:spPr>
        <c:dLbl>
          <c:idx val="0"/>
          <c:layout>
            <c:manualLayout>
              <c:x val="-2.5339283983308605E-2"/>
              <c:y val="-0.15247525346827995"/>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64663653986619"/>
                  <c:h val="0.1796089178922943"/>
                </c:manualLayout>
              </c15:layout>
            </c:ext>
          </c:extLst>
        </c:dLbl>
      </c:pivotFmt>
    </c:pivotFmts>
    <c:plotArea>
      <c:layout/>
      <c:pieChart>
        <c:varyColors val="1"/>
        <c:ser>
          <c:idx val="0"/>
          <c:order val="0"/>
          <c:tx>
            <c:strRef>
              <c:f>Pivot!$I$23</c:f>
              <c:strCache>
                <c:ptCount val="1"/>
                <c:pt idx="0">
                  <c:v>Total</c:v>
                </c:pt>
              </c:strCache>
            </c:strRef>
          </c:tx>
          <c:spPr>
            <a:ln>
              <a:noFill/>
            </a:ln>
          </c:spPr>
          <c:dPt>
            <c:idx val="0"/>
            <c:bubble3D val="0"/>
            <c:explosion val="18"/>
            <c:spPr>
              <a:solidFill>
                <a:srgbClr val="FFFF00"/>
              </a:solidFill>
              <a:ln w="19050">
                <a:noFill/>
              </a:ln>
              <a:effectLst/>
            </c:spPr>
            <c:extLst>
              <c:ext xmlns:c16="http://schemas.microsoft.com/office/drawing/2014/chart" uri="{C3380CC4-5D6E-409C-BE32-E72D297353CC}">
                <c16:uniqueId val="{00000001-7397-470D-A383-9300885364B2}"/>
              </c:ext>
            </c:extLst>
          </c:dPt>
          <c:dPt>
            <c:idx val="1"/>
            <c:bubble3D val="0"/>
            <c:spPr>
              <a:solidFill>
                <a:schemeClr val="accent2"/>
              </a:solidFill>
              <a:ln w="19050">
                <a:noFill/>
              </a:ln>
              <a:effectLst/>
            </c:spPr>
            <c:extLst>
              <c:ext xmlns:c16="http://schemas.microsoft.com/office/drawing/2014/chart" uri="{C3380CC4-5D6E-409C-BE32-E72D297353CC}">
                <c16:uniqueId val="{00000003-7397-470D-A383-9300885364B2}"/>
              </c:ext>
            </c:extLst>
          </c:dPt>
          <c:dPt>
            <c:idx val="2"/>
            <c:bubble3D val="0"/>
            <c:spPr>
              <a:solidFill>
                <a:schemeClr val="accent4">
                  <a:lumMod val="40000"/>
                  <a:lumOff val="60000"/>
                </a:schemeClr>
              </a:solidFill>
              <a:ln w="19050">
                <a:noFill/>
              </a:ln>
              <a:effectLst/>
            </c:spPr>
            <c:extLst>
              <c:ext xmlns:c16="http://schemas.microsoft.com/office/drawing/2014/chart" uri="{C3380CC4-5D6E-409C-BE32-E72D297353CC}">
                <c16:uniqueId val="{00000005-7397-470D-A383-9300885364B2}"/>
              </c:ext>
            </c:extLst>
          </c:dPt>
          <c:dPt>
            <c:idx val="3"/>
            <c:bubble3D val="0"/>
            <c:spPr>
              <a:solidFill>
                <a:srgbClr val="FF0000"/>
              </a:solidFill>
              <a:ln w="19050">
                <a:noFill/>
              </a:ln>
              <a:effectLst/>
            </c:spPr>
            <c:extLst>
              <c:ext xmlns:c16="http://schemas.microsoft.com/office/drawing/2014/chart" uri="{C3380CC4-5D6E-409C-BE32-E72D297353CC}">
                <c16:uniqueId val="{00000007-7397-470D-A383-9300885364B2}"/>
              </c:ext>
            </c:extLst>
          </c:dPt>
          <c:dLbls>
            <c:dLbl>
              <c:idx val="0"/>
              <c:layout>
                <c:manualLayout>
                  <c:x val="-4.0120664603048924E-2"/>
                  <c:y val="0"/>
                </c:manualLayout>
              </c:layout>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8764920339780298"/>
                      <c:h val="0.29540361329241493"/>
                    </c:manualLayout>
                  </c15:layout>
                </c:ext>
                <c:ext xmlns:c16="http://schemas.microsoft.com/office/drawing/2014/chart" uri="{C3380CC4-5D6E-409C-BE32-E72D297353CC}">
                  <c16:uniqueId val="{00000001-7397-470D-A383-9300885364B2}"/>
                </c:ext>
              </c:extLst>
            </c:dLbl>
            <c:dLbl>
              <c:idx val="1"/>
              <c:layout>
                <c:manualLayout>
                  <c:x val="2.3227753191238897E-2"/>
                  <c:y val="-5.544554671573816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397-470D-A383-9300885364B2}"/>
                </c:ext>
              </c:extLst>
            </c:dLbl>
            <c:dLbl>
              <c:idx val="2"/>
              <c:layout>
                <c:manualLayout>
                  <c:x val="5.4901962088382848E-2"/>
                  <c:y val="-1.03960400092009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7684306069626397"/>
                      <c:h val="0.26421549326481225"/>
                    </c:manualLayout>
                  </c15:layout>
                </c:ext>
                <c:ext xmlns:c16="http://schemas.microsoft.com/office/drawing/2014/chart" uri="{C3380CC4-5D6E-409C-BE32-E72D297353CC}">
                  <c16:uniqueId val="{00000005-7397-470D-A383-9300885364B2}"/>
                </c:ext>
              </c:extLst>
            </c:dLbl>
            <c:dLbl>
              <c:idx val="3"/>
              <c:layout>
                <c:manualLayout>
                  <c:x val="-2.5339283983308605E-2"/>
                  <c:y val="-0.15247525346827995"/>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64663653986619"/>
                      <c:h val="0.1796089178922943"/>
                    </c:manualLayout>
                  </c15:layout>
                </c:ext>
                <c:ext xmlns:c16="http://schemas.microsoft.com/office/drawing/2014/chart" uri="{C3380CC4-5D6E-409C-BE32-E72D297353CC}">
                  <c16:uniqueId val="{00000007-7397-470D-A383-9300885364B2}"/>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leaderLines>
            <c:extLst>
              <c:ext xmlns:c15="http://schemas.microsoft.com/office/drawing/2012/chart" uri="{CE6537A1-D6FC-4f65-9D91-7224C49458BB}"/>
            </c:extLst>
          </c:dLbls>
          <c:cat>
            <c:strRef>
              <c:f>Pivot!$H$24:$H$28</c:f>
              <c:strCache>
                <c:ptCount val="4"/>
                <c:pt idx="0">
                  <c:v>Dalam Proses</c:v>
                </c:pt>
                <c:pt idx="1">
                  <c:v>Dibatalkan</c:v>
                </c:pt>
                <c:pt idx="2">
                  <c:v>Menunggu Pembayaran</c:v>
                </c:pt>
                <c:pt idx="3">
                  <c:v>Selesai </c:v>
                </c:pt>
              </c:strCache>
            </c:strRef>
          </c:cat>
          <c:val>
            <c:numRef>
              <c:f>Pivot!$I$24:$I$28</c:f>
              <c:numCache>
                <c:formatCode>General</c:formatCode>
                <c:ptCount val="4"/>
                <c:pt idx="0">
                  <c:v>12</c:v>
                </c:pt>
                <c:pt idx="1">
                  <c:v>5</c:v>
                </c:pt>
                <c:pt idx="2">
                  <c:v>10</c:v>
                </c:pt>
                <c:pt idx="3">
                  <c:v>28</c:v>
                </c:pt>
              </c:numCache>
            </c:numRef>
          </c:val>
          <c:extLst>
            <c:ext xmlns:c16="http://schemas.microsoft.com/office/drawing/2014/chart" uri="{C3380CC4-5D6E-409C-BE32-E72D297353CC}">
              <c16:uniqueId val="{00000008-7397-470D-A383-9300885364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94866</xdr:colOff>
      <xdr:row>11</xdr:row>
      <xdr:rowOff>30018</xdr:rowOff>
    </xdr:from>
    <xdr:to>
      <xdr:col>22</xdr:col>
      <xdr:colOff>11919</xdr:colOff>
      <xdr:row>35</xdr:row>
      <xdr:rowOff>40028</xdr:rowOff>
    </xdr:to>
    <xdr:sp macro="" textlink="">
      <xdr:nvSpPr>
        <xdr:cNvPr id="15" name="Rectangle: Rounded Corners 14">
          <a:extLst>
            <a:ext uri="{FF2B5EF4-FFF2-40B4-BE49-F238E27FC236}">
              <a16:creationId xmlns:a16="http://schemas.microsoft.com/office/drawing/2014/main" id="{D2895A21-5D42-4796-A483-44434A6E6DEB}"/>
            </a:ext>
          </a:extLst>
        </xdr:cNvPr>
        <xdr:cNvSpPr/>
      </xdr:nvSpPr>
      <xdr:spPr>
        <a:xfrm>
          <a:off x="7388295" y="2025732"/>
          <a:ext cx="5994910" cy="4364296"/>
        </a:xfrm>
        <a:prstGeom prst="roundRect">
          <a:avLst/>
        </a:prstGeom>
        <a:gradFill flip="none" rotWithShape="1">
          <a:gsLst>
            <a:gs pos="87000">
              <a:srgbClr val="EB7900"/>
            </a:gs>
            <a:gs pos="22000">
              <a:srgbClr val="FF0000"/>
            </a:gs>
          </a:gsLst>
          <a:lin ang="10800000" scaled="1"/>
          <a:tileRect/>
        </a:gradFill>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xdr:col>
      <xdr:colOff>514384</xdr:colOff>
      <xdr:row>32</xdr:row>
      <xdr:rowOff>86972</xdr:rowOff>
    </xdr:from>
    <xdr:to>
      <xdr:col>12</xdr:col>
      <xdr:colOff>138995</xdr:colOff>
      <xdr:row>51</xdr:row>
      <xdr:rowOff>132562</xdr:rowOff>
    </xdr:to>
    <xdr:graphicFrame macro="">
      <xdr:nvGraphicFramePr>
        <xdr:cNvPr id="3" name="Chart 2">
          <a:extLst>
            <a:ext uri="{FF2B5EF4-FFF2-40B4-BE49-F238E27FC236}">
              <a16:creationId xmlns:a16="http://schemas.microsoft.com/office/drawing/2014/main" id="{39A1D790-EA4A-4B74-807F-F5FB1A00C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506965</xdr:colOff>
      <xdr:row>57</xdr:row>
      <xdr:rowOff>155314</xdr:rowOff>
    </xdr:from>
    <xdr:to>
      <xdr:col>12</xdr:col>
      <xdr:colOff>116063</xdr:colOff>
      <xdr:row>78</xdr:row>
      <xdr:rowOff>19487</xdr:rowOff>
    </xdr:to>
    <xdr:graphicFrame macro="">
      <xdr:nvGraphicFramePr>
        <xdr:cNvPr id="7" name="Chart 6">
          <a:extLst>
            <a:ext uri="{FF2B5EF4-FFF2-40B4-BE49-F238E27FC236}">
              <a16:creationId xmlns:a16="http://schemas.microsoft.com/office/drawing/2014/main" id="{6A31A178-8DB1-4140-8E00-9618046EF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164624</xdr:colOff>
      <xdr:row>63</xdr:row>
      <xdr:rowOff>77764</xdr:rowOff>
    </xdr:from>
    <xdr:to>
      <xdr:col>21</xdr:col>
      <xdr:colOff>527289</xdr:colOff>
      <xdr:row>78</xdr:row>
      <xdr:rowOff>162238</xdr:rowOff>
    </xdr:to>
    <xdr:graphicFrame macro="">
      <xdr:nvGraphicFramePr>
        <xdr:cNvPr id="8" name="Chart 7">
          <a:extLst>
            <a:ext uri="{FF2B5EF4-FFF2-40B4-BE49-F238E27FC236}">
              <a16:creationId xmlns:a16="http://schemas.microsoft.com/office/drawing/2014/main" id="{03718BC2-A1A5-4943-B129-FD6EC1A0F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460855</xdr:colOff>
      <xdr:row>27</xdr:row>
      <xdr:rowOff>61417</xdr:rowOff>
    </xdr:from>
    <xdr:to>
      <xdr:col>21</xdr:col>
      <xdr:colOff>288818</xdr:colOff>
      <xdr:row>33</xdr:row>
      <xdr:rowOff>102381</xdr:rowOff>
    </xdr:to>
    <mc:AlternateContent xmlns:mc="http://schemas.openxmlformats.org/markup-compatibility/2006" xmlns:a14="http://schemas.microsoft.com/office/drawing/2010/main">
      <mc:Choice Requires="a14">
        <xdr:graphicFrame macro="">
          <xdr:nvGraphicFramePr>
            <xdr:cNvPr id="11" name="Jenis Produk">
              <a:extLst>
                <a:ext uri="{FF2B5EF4-FFF2-40B4-BE49-F238E27FC236}">
                  <a16:creationId xmlns:a16="http://schemas.microsoft.com/office/drawing/2014/main" id="{5358D606-7BDC-4319-9275-E3B6837C964F}"/>
                </a:ext>
              </a:extLst>
            </xdr:cNvPr>
            <xdr:cNvGraphicFramePr/>
          </xdr:nvGraphicFramePr>
          <xdr:xfrm>
            <a:off x="0" y="0"/>
            <a:ext cx="0" cy="0"/>
          </xdr:xfrm>
          <a:graphic>
            <a:graphicData uri="http://schemas.microsoft.com/office/drawing/2010/slicer">
              <sle:slicer xmlns:sle="http://schemas.microsoft.com/office/drawing/2010/slicer" name="Jenis Produk"/>
            </a:graphicData>
          </a:graphic>
        </xdr:graphicFrame>
      </mc:Choice>
      <mc:Fallback xmlns="">
        <xdr:sp macro="" textlink="">
          <xdr:nvSpPr>
            <xdr:cNvPr id="0" name=""/>
            <xdr:cNvSpPr>
              <a:spLocks noTextEdit="1"/>
            </xdr:cNvSpPr>
          </xdr:nvSpPr>
          <xdr:spPr>
            <a:xfrm>
              <a:off x="7842730" y="4883448"/>
              <a:ext cx="5364369" cy="11125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181428</xdr:colOff>
      <xdr:row>13</xdr:row>
      <xdr:rowOff>167749</xdr:rowOff>
    </xdr:from>
    <xdr:to>
      <xdr:col>21</xdr:col>
      <xdr:colOff>396926</xdr:colOff>
      <xdr:row>27</xdr:row>
      <xdr:rowOff>58281</xdr:rowOff>
    </xdr:to>
    <xdr:graphicFrame macro="">
      <xdr:nvGraphicFramePr>
        <xdr:cNvPr id="9" name="Chart 8">
          <a:extLst>
            <a:ext uri="{FF2B5EF4-FFF2-40B4-BE49-F238E27FC236}">
              <a16:creationId xmlns:a16="http://schemas.microsoft.com/office/drawing/2014/main" id="{28C34EE5-069E-4120-9400-E88464615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361922</xdr:colOff>
      <xdr:row>11</xdr:row>
      <xdr:rowOff>130378</xdr:rowOff>
    </xdr:from>
    <xdr:to>
      <xdr:col>11</xdr:col>
      <xdr:colOff>278975</xdr:colOff>
      <xdr:row>25</xdr:row>
      <xdr:rowOff>130547</xdr:rowOff>
    </xdr:to>
    <xdr:grpSp>
      <xdr:nvGrpSpPr>
        <xdr:cNvPr id="27" name="Group 26">
          <a:extLst>
            <a:ext uri="{FF2B5EF4-FFF2-40B4-BE49-F238E27FC236}">
              <a16:creationId xmlns:a16="http://schemas.microsoft.com/office/drawing/2014/main" id="{5BE75205-24DC-4B38-927A-6BD2C754CAD1}"/>
            </a:ext>
          </a:extLst>
        </xdr:cNvPr>
        <xdr:cNvGrpSpPr/>
      </xdr:nvGrpSpPr>
      <xdr:grpSpPr>
        <a:xfrm>
          <a:off x="970464" y="2167670"/>
          <a:ext cx="6002469" cy="2593085"/>
          <a:chOff x="973859" y="540905"/>
          <a:chExt cx="6036541" cy="2586181"/>
        </a:xfrm>
      </xdr:grpSpPr>
      <xdr:sp macro="" textlink="">
        <xdr:nvSpPr>
          <xdr:cNvPr id="10" name="Rectangle: Rounded Corners 9">
            <a:extLst>
              <a:ext uri="{FF2B5EF4-FFF2-40B4-BE49-F238E27FC236}">
                <a16:creationId xmlns:a16="http://schemas.microsoft.com/office/drawing/2014/main" id="{1C6E7650-247A-4D2F-8758-0FDBA3BA0A79}"/>
              </a:ext>
            </a:extLst>
          </xdr:cNvPr>
          <xdr:cNvSpPr/>
        </xdr:nvSpPr>
        <xdr:spPr>
          <a:xfrm>
            <a:off x="973859" y="540905"/>
            <a:ext cx="6036541" cy="2586181"/>
          </a:xfrm>
          <a:prstGeom prst="roundRect">
            <a:avLst/>
          </a:prstGeom>
          <a:gradFill flip="none" rotWithShape="1">
            <a:gsLst>
              <a:gs pos="87000">
                <a:srgbClr val="EB7900"/>
              </a:gs>
              <a:gs pos="22000">
                <a:srgbClr val="FF0000"/>
              </a:gs>
            </a:gsLst>
            <a:lin ang="10800000" scaled="1"/>
            <a:tileRect/>
          </a:gradFill>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D" sz="1100"/>
          </a:p>
        </xdr:txBody>
      </xdr:sp>
      <xdr:graphicFrame macro="">
        <xdr:nvGraphicFramePr>
          <xdr:cNvPr id="2" name="Chart 1">
            <a:extLst>
              <a:ext uri="{FF2B5EF4-FFF2-40B4-BE49-F238E27FC236}">
                <a16:creationId xmlns:a16="http://schemas.microsoft.com/office/drawing/2014/main" id="{64888EB5-1E89-4CD1-AFD0-4510C3A181F2}"/>
              </a:ext>
            </a:extLst>
          </xdr:cNvPr>
          <xdr:cNvGraphicFramePr>
            <a:graphicFrameLocks/>
          </xdr:cNvGraphicFramePr>
        </xdr:nvGraphicFramePr>
        <xdr:xfrm>
          <a:off x="2419927" y="1312141"/>
          <a:ext cx="4257964" cy="1623868"/>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9BA867EA-72A1-4D1C-934B-D4841E5CC4CC}"/>
                  </a:ext>
                </a:extLst>
              </xdr:cNvPr>
              <xdr:cNvGraphicFramePr/>
            </xdr:nvGraphicFramePr>
            <xdr:xfrm>
              <a:off x="1194996" y="1740558"/>
              <a:ext cx="1180481" cy="1199077"/>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199390" y="3254809"/>
                <a:ext cx="1186753" cy="11593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3" name="Rectangle 12">
            <a:extLst>
              <a:ext uri="{FF2B5EF4-FFF2-40B4-BE49-F238E27FC236}">
                <a16:creationId xmlns:a16="http://schemas.microsoft.com/office/drawing/2014/main" id="{9540E6CA-0719-4724-B411-C0E963B138C8}"/>
              </a:ext>
            </a:extLst>
          </xdr:cNvPr>
          <xdr:cNvSpPr/>
        </xdr:nvSpPr>
        <xdr:spPr>
          <a:xfrm>
            <a:off x="1233794" y="663046"/>
            <a:ext cx="2073400" cy="57776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800" i="0">
                <a:solidFill>
                  <a:schemeClr val="bg1"/>
                </a:solidFill>
                <a:latin typeface="Abadi" panose="020B0604020104020204" pitchFamily="34" charset="0"/>
              </a:rPr>
              <a:t>Total</a:t>
            </a:r>
            <a:r>
              <a:rPr lang="en-ID" sz="2800" i="0" baseline="0">
                <a:solidFill>
                  <a:schemeClr val="bg1"/>
                </a:solidFill>
                <a:latin typeface="Abadi" panose="020B0604020104020204" pitchFamily="34" charset="0"/>
              </a:rPr>
              <a:t> </a:t>
            </a:r>
            <a:r>
              <a:rPr lang="en-ID" sz="2800" i="0">
                <a:solidFill>
                  <a:schemeClr val="bg1"/>
                </a:solidFill>
                <a:latin typeface="Abadi" panose="020B0604020104020204" pitchFamily="34" charset="0"/>
              </a:rPr>
              <a:t>Sales</a:t>
            </a:r>
          </a:p>
        </xdr:txBody>
      </xdr:sp>
      <xdr:sp macro="" textlink="Pivot!B32">
        <xdr:nvSpPr>
          <xdr:cNvPr id="14" name="Rectangle 13">
            <a:extLst>
              <a:ext uri="{FF2B5EF4-FFF2-40B4-BE49-F238E27FC236}">
                <a16:creationId xmlns:a16="http://schemas.microsoft.com/office/drawing/2014/main" id="{B7DA9C2C-5D68-4065-8E6A-17C863BC69AB}"/>
              </a:ext>
            </a:extLst>
          </xdr:cNvPr>
          <xdr:cNvSpPr/>
        </xdr:nvSpPr>
        <xdr:spPr>
          <a:xfrm>
            <a:off x="3298121" y="821460"/>
            <a:ext cx="3572579" cy="5414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520F73C8-4036-4582-BDB1-050A9C96EE36}" type="TxLink">
              <a:rPr lang="en-US" sz="2800" i="0">
                <a:solidFill>
                  <a:schemeClr val="bg1"/>
                </a:solidFill>
                <a:latin typeface="Abadi" panose="020B0604020104020204" pitchFamily="34" charset="0"/>
                <a:ea typeface="+mn-ea"/>
                <a:cs typeface="+mn-cs"/>
              </a:rPr>
              <a:pPr marL="0" indent="0" algn="l"/>
              <a:t> Rp253.560.000,00 </a:t>
            </a:fld>
            <a:endParaRPr lang="en-ID" sz="2800" i="0">
              <a:solidFill>
                <a:schemeClr val="bg1"/>
              </a:solidFill>
              <a:latin typeface="Abadi" panose="020B0604020104020204" pitchFamily="34" charset="0"/>
              <a:ea typeface="+mn-ea"/>
              <a:cs typeface="+mn-cs"/>
            </a:endParaRPr>
          </a:p>
        </xdr:txBody>
      </xdr:sp>
      <xdr:sp macro="" textlink="">
        <xdr:nvSpPr>
          <xdr:cNvPr id="16" name="Rectangle 15">
            <a:extLst>
              <a:ext uri="{FF2B5EF4-FFF2-40B4-BE49-F238E27FC236}">
                <a16:creationId xmlns:a16="http://schemas.microsoft.com/office/drawing/2014/main" id="{33BC62D7-110C-43F8-928F-D7917878F043}"/>
              </a:ext>
            </a:extLst>
          </xdr:cNvPr>
          <xdr:cNvSpPr/>
        </xdr:nvSpPr>
        <xdr:spPr>
          <a:xfrm>
            <a:off x="1215156" y="979888"/>
            <a:ext cx="2077524" cy="5777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i="0">
                <a:solidFill>
                  <a:schemeClr val="bg1"/>
                </a:solidFill>
                <a:latin typeface="Abadi" panose="020B0604020104020204" pitchFamily="34" charset="0"/>
              </a:rPr>
              <a:t>Historical</a:t>
            </a:r>
          </a:p>
        </xdr:txBody>
      </xdr:sp>
    </xdr:grpSp>
    <xdr:clientData/>
  </xdr:twoCellAnchor>
  <xdr:twoCellAnchor>
    <xdr:from>
      <xdr:col>12</xdr:col>
      <xdr:colOff>450944</xdr:colOff>
      <xdr:row>11</xdr:row>
      <xdr:rowOff>114910</xdr:rowOff>
    </xdr:from>
    <xdr:to>
      <xdr:col>16</xdr:col>
      <xdr:colOff>82999</xdr:colOff>
      <xdr:row>14</xdr:row>
      <xdr:rowOff>138112</xdr:rowOff>
    </xdr:to>
    <xdr:sp macro="" textlink="">
      <xdr:nvSpPr>
        <xdr:cNvPr id="20" name="Rectangle 19">
          <a:extLst>
            <a:ext uri="{FF2B5EF4-FFF2-40B4-BE49-F238E27FC236}">
              <a16:creationId xmlns:a16="http://schemas.microsoft.com/office/drawing/2014/main" id="{2DE59F21-49BD-41A8-B8D0-1FEC5334B8A7}"/>
            </a:ext>
          </a:extLst>
        </xdr:cNvPr>
        <xdr:cNvSpPr/>
      </xdr:nvSpPr>
      <xdr:spPr>
        <a:xfrm>
          <a:off x="7744373" y="2110624"/>
          <a:ext cx="2063197" cy="5674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800" i="0">
              <a:solidFill>
                <a:schemeClr val="bg1"/>
              </a:solidFill>
              <a:latin typeface="Abadi" panose="020B0604020104020204" pitchFamily="34" charset="0"/>
            </a:rPr>
            <a:t>Total</a:t>
          </a:r>
          <a:r>
            <a:rPr lang="en-ID" sz="2800" i="0" baseline="0">
              <a:solidFill>
                <a:schemeClr val="bg1"/>
              </a:solidFill>
              <a:latin typeface="Abadi" panose="020B0604020104020204" pitchFamily="34" charset="0"/>
            </a:rPr>
            <a:t> </a:t>
          </a:r>
          <a:r>
            <a:rPr lang="en-ID" sz="2800" i="0">
              <a:solidFill>
                <a:schemeClr val="bg1"/>
              </a:solidFill>
              <a:latin typeface="Abadi" panose="020B0604020104020204" pitchFamily="34" charset="0"/>
            </a:rPr>
            <a:t>Sales</a:t>
          </a:r>
        </a:p>
      </xdr:txBody>
    </xdr:sp>
    <xdr:clientData/>
  </xdr:twoCellAnchor>
  <xdr:twoCellAnchor>
    <xdr:from>
      <xdr:col>16</xdr:col>
      <xdr:colOff>73988</xdr:colOff>
      <xdr:row>12</xdr:row>
      <xdr:rowOff>89077</xdr:rowOff>
    </xdr:from>
    <xdr:to>
      <xdr:col>21</xdr:col>
      <xdr:colOff>578904</xdr:colOff>
      <xdr:row>15</xdr:row>
      <xdr:rowOff>76639</xdr:rowOff>
    </xdr:to>
    <xdr:sp macro="" textlink="Pivot!F20">
      <xdr:nvSpPr>
        <xdr:cNvPr id="21" name="Rectangle 20">
          <a:extLst>
            <a:ext uri="{FF2B5EF4-FFF2-40B4-BE49-F238E27FC236}">
              <a16:creationId xmlns:a16="http://schemas.microsoft.com/office/drawing/2014/main" id="{51B7AFB0-04A0-4724-8EAE-3BD8437967B6}"/>
            </a:ext>
          </a:extLst>
        </xdr:cNvPr>
        <xdr:cNvSpPr/>
      </xdr:nvSpPr>
      <xdr:spPr>
        <a:xfrm>
          <a:off x="9798559" y="2266220"/>
          <a:ext cx="3543845" cy="53184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A6F16D66-6D08-46E1-8C74-CB16799F53DE}" type="TxLink">
            <a:rPr lang="en-US" sz="2800" i="0">
              <a:solidFill>
                <a:schemeClr val="bg1"/>
              </a:solidFill>
              <a:latin typeface="Abadi" panose="020B0604020104020204" pitchFamily="34" charset="0"/>
              <a:ea typeface="+mn-ea"/>
              <a:cs typeface="+mn-cs"/>
            </a:rPr>
            <a:pPr marL="0" indent="0" algn="l"/>
            <a:t> Rp36.050.000,00 </a:t>
          </a:fld>
          <a:endParaRPr lang="en-ID" sz="2800" i="0">
            <a:solidFill>
              <a:schemeClr val="bg1"/>
            </a:solidFill>
            <a:latin typeface="Abadi" panose="020B0604020104020204" pitchFamily="34" charset="0"/>
            <a:ea typeface="+mn-ea"/>
            <a:cs typeface="+mn-cs"/>
          </a:endParaRPr>
        </a:p>
      </xdr:txBody>
    </xdr:sp>
    <xdr:clientData/>
  </xdr:twoCellAnchor>
  <xdr:twoCellAnchor>
    <xdr:from>
      <xdr:col>12</xdr:col>
      <xdr:colOff>436530</xdr:colOff>
      <xdr:row>13</xdr:row>
      <xdr:rowOff>63258</xdr:rowOff>
    </xdr:from>
    <xdr:to>
      <xdr:col>16</xdr:col>
      <xdr:colOff>68585</xdr:colOff>
      <xdr:row>16</xdr:row>
      <xdr:rowOff>86459</xdr:rowOff>
    </xdr:to>
    <xdr:sp macro="" textlink="">
      <xdr:nvSpPr>
        <xdr:cNvPr id="22" name="Rectangle 21">
          <a:extLst>
            <a:ext uri="{FF2B5EF4-FFF2-40B4-BE49-F238E27FC236}">
              <a16:creationId xmlns:a16="http://schemas.microsoft.com/office/drawing/2014/main" id="{E75612BB-8460-4770-95F4-A37749268717}"/>
            </a:ext>
          </a:extLst>
        </xdr:cNvPr>
        <xdr:cNvSpPr/>
      </xdr:nvSpPr>
      <xdr:spPr>
        <a:xfrm>
          <a:off x="7729959" y="2421829"/>
          <a:ext cx="2063197" cy="56748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i="0">
              <a:solidFill>
                <a:schemeClr val="bg1"/>
              </a:solidFill>
              <a:latin typeface="Abadi" panose="020B0604020104020204" pitchFamily="34" charset="0"/>
            </a:rPr>
            <a:t>Categorial</a:t>
          </a:r>
        </a:p>
      </xdr:txBody>
    </xdr:sp>
    <xdr:clientData/>
  </xdr:twoCellAnchor>
  <xdr:twoCellAnchor>
    <xdr:from>
      <xdr:col>1</xdr:col>
      <xdr:colOff>357827</xdr:colOff>
      <xdr:row>27</xdr:row>
      <xdr:rowOff>154953</xdr:rowOff>
    </xdr:from>
    <xdr:to>
      <xdr:col>11</xdr:col>
      <xdr:colOff>274880</xdr:colOff>
      <xdr:row>52</xdr:row>
      <xdr:rowOff>64534</xdr:rowOff>
    </xdr:to>
    <xdr:sp macro="" textlink="">
      <xdr:nvSpPr>
        <xdr:cNvPr id="23" name="Rectangle: Rounded Corners 22">
          <a:extLst>
            <a:ext uri="{FF2B5EF4-FFF2-40B4-BE49-F238E27FC236}">
              <a16:creationId xmlns:a16="http://schemas.microsoft.com/office/drawing/2014/main" id="{C2542488-6137-4BB1-887C-5BE9D3AA78E0}"/>
            </a:ext>
          </a:extLst>
        </xdr:cNvPr>
        <xdr:cNvSpPr/>
      </xdr:nvSpPr>
      <xdr:spPr>
        <a:xfrm>
          <a:off x="965613" y="5053524"/>
          <a:ext cx="5994910" cy="4445296"/>
        </a:xfrm>
        <a:prstGeom prst="roundRect">
          <a:avLst/>
        </a:prstGeom>
        <a:noFill/>
        <a:ln w="38100">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15553</xdr:colOff>
      <xdr:row>29</xdr:row>
      <xdr:rowOff>70741</xdr:rowOff>
    </xdr:from>
    <xdr:to>
      <xdr:col>10</xdr:col>
      <xdr:colOff>540491</xdr:colOff>
      <xdr:row>32</xdr:row>
      <xdr:rowOff>93944</xdr:rowOff>
    </xdr:to>
    <xdr:sp macro="" textlink="">
      <xdr:nvSpPr>
        <xdr:cNvPr id="24" name="Rectangle 23">
          <a:extLst>
            <a:ext uri="{FF2B5EF4-FFF2-40B4-BE49-F238E27FC236}">
              <a16:creationId xmlns:a16="http://schemas.microsoft.com/office/drawing/2014/main" id="{990C10AE-06FA-4217-96A4-8E5BDA507BAE}"/>
            </a:ext>
          </a:extLst>
        </xdr:cNvPr>
        <xdr:cNvSpPr/>
      </xdr:nvSpPr>
      <xdr:spPr>
        <a:xfrm>
          <a:off x="1231124" y="5332170"/>
          <a:ext cx="5387224" cy="5674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800" i="0">
              <a:solidFill>
                <a:schemeClr val="bg1"/>
              </a:solidFill>
              <a:latin typeface="Abadi" panose="020B0604020104020204" pitchFamily="34" charset="0"/>
            </a:rPr>
            <a:t>Top</a:t>
          </a:r>
          <a:r>
            <a:rPr lang="en-ID" sz="2800" i="0" baseline="0">
              <a:solidFill>
                <a:schemeClr val="bg1"/>
              </a:solidFill>
              <a:latin typeface="Abadi" panose="020B0604020104020204" pitchFamily="34" charset="0"/>
            </a:rPr>
            <a:t> 5 Product Sales by %</a:t>
          </a:r>
          <a:endParaRPr lang="en-ID" sz="2800" i="0">
            <a:solidFill>
              <a:schemeClr val="bg1"/>
            </a:solidFill>
            <a:latin typeface="Abadi" panose="020B0604020104020204" pitchFamily="34" charset="0"/>
          </a:endParaRPr>
        </a:p>
      </xdr:txBody>
    </xdr:sp>
    <xdr:clientData/>
  </xdr:twoCellAnchor>
  <xdr:twoCellAnchor>
    <xdr:from>
      <xdr:col>1</xdr:col>
      <xdr:colOff>374964</xdr:colOff>
      <xdr:row>54</xdr:row>
      <xdr:rowOff>134205</xdr:rowOff>
    </xdr:from>
    <xdr:to>
      <xdr:col>11</xdr:col>
      <xdr:colOff>292017</xdr:colOff>
      <xdr:row>79</xdr:row>
      <xdr:rowOff>43787</xdr:rowOff>
    </xdr:to>
    <xdr:sp macro="" textlink="">
      <xdr:nvSpPr>
        <xdr:cNvPr id="25" name="Rectangle: Rounded Corners 24">
          <a:extLst>
            <a:ext uri="{FF2B5EF4-FFF2-40B4-BE49-F238E27FC236}">
              <a16:creationId xmlns:a16="http://schemas.microsoft.com/office/drawing/2014/main" id="{E5765215-9482-48AF-BEEF-55D76C10AC57}"/>
            </a:ext>
          </a:extLst>
        </xdr:cNvPr>
        <xdr:cNvSpPr/>
      </xdr:nvSpPr>
      <xdr:spPr>
        <a:xfrm>
          <a:off x="982750" y="9931348"/>
          <a:ext cx="5994910" cy="4445296"/>
        </a:xfrm>
        <a:prstGeom prst="roundRect">
          <a:avLst/>
        </a:prstGeom>
        <a:noFill/>
        <a:ln w="38100">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17852</xdr:colOff>
      <xdr:row>56</xdr:row>
      <xdr:rowOff>27982</xdr:rowOff>
    </xdr:from>
    <xdr:to>
      <xdr:col>10</xdr:col>
      <xdr:colOff>542790</xdr:colOff>
      <xdr:row>59</xdr:row>
      <xdr:rowOff>51184</xdr:rowOff>
    </xdr:to>
    <xdr:sp macro="" textlink="">
      <xdr:nvSpPr>
        <xdr:cNvPr id="26" name="Rectangle 25">
          <a:extLst>
            <a:ext uri="{FF2B5EF4-FFF2-40B4-BE49-F238E27FC236}">
              <a16:creationId xmlns:a16="http://schemas.microsoft.com/office/drawing/2014/main" id="{7F2EB287-921F-427E-B001-06F80FA48AC3}"/>
            </a:ext>
          </a:extLst>
        </xdr:cNvPr>
        <xdr:cNvSpPr/>
      </xdr:nvSpPr>
      <xdr:spPr>
        <a:xfrm>
          <a:off x="1233423" y="10187982"/>
          <a:ext cx="5387224" cy="5674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400" i="0">
              <a:solidFill>
                <a:schemeClr val="bg1"/>
              </a:solidFill>
              <a:latin typeface="Abadi" panose="020B0604020104020204" pitchFamily="34" charset="0"/>
            </a:rPr>
            <a:t>Top</a:t>
          </a:r>
          <a:r>
            <a:rPr lang="en-ID" sz="2400" i="0" baseline="0">
              <a:solidFill>
                <a:schemeClr val="bg1"/>
              </a:solidFill>
              <a:latin typeface="Abadi" panose="020B0604020104020204" pitchFamily="34" charset="0"/>
            </a:rPr>
            <a:t> 5 Product Sales by Order Amt</a:t>
          </a:r>
          <a:endParaRPr lang="en-ID" sz="2400" i="0">
            <a:solidFill>
              <a:schemeClr val="bg1"/>
            </a:solidFill>
            <a:latin typeface="Abadi" panose="020B0604020104020204" pitchFamily="34" charset="0"/>
          </a:endParaRPr>
        </a:p>
      </xdr:txBody>
    </xdr:sp>
    <xdr:clientData/>
  </xdr:twoCellAnchor>
  <xdr:twoCellAnchor>
    <xdr:from>
      <xdr:col>11</xdr:col>
      <xdr:colOff>443274</xdr:colOff>
      <xdr:row>37</xdr:row>
      <xdr:rowOff>13962</xdr:rowOff>
    </xdr:from>
    <xdr:to>
      <xdr:col>22</xdr:col>
      <xdr:colOff>15966</xdr:colOff>
      <xdr:row>61</xdr:row>
      <xdr:rowOff>111209</xdr:rowOff>
    </xdr:to>
    <xdr:grpSp>
      <xdr:nvGrpSpPr>
        <xdr:cNvPr id="31" name="Group 30">
          <a:extLst>
            <a:ext uri="{FF2B5EF4-FFF2-40B4-BE49-F238E27FC236}">
              <a16:creationId xmlns:a16="http://schemas.microsoft.com/office/drawing/2014/main" id="{99E0F0C6-D0B5-40F9-AEB4-E4168D1F2215}"/>
            </a:ext>
          </a:extLst>
        </xdr:cNvPr>
        <xdr:cNvGrpSpPr/>
      </xdr:nvGrpSpPr>
      <xdr:grpSpPr>
        <a:xfrm>
          <a:off x="7137232" y="6866670"/>
          <a:ext cx="6266651" cy="4542247"/>
          <a:chOff x="7075340" y="6538844"/>
          <a:chExt cx="6212474" cy="4664363"/>
        </a:xfrm>
      </xdr:grpSpPr>
      <xdr:sp macro="" textlink="">
        <xdr:nvSpPr>
          <xdr:cNvPr id="28" name="Rectangle: Rounded Corners 27">
            <a:extLst>
              <a:ext uri="{FF2B5EF4-FFF2-40B4-BE49-F238E27FC236}">
                <a16:creationId xmlns:a16="http://schemas.microsoft.com/office/drawing/2014/main" id="{3BBCA2A0-80C7-4B5E-878A-F17860AD8947}"/>
              </a:ext>
            </a:extLst>
          </xdr:cNvPr>
          <xdr:cNvSpPr/>
        </xdr:nvSpPr>
        <xdr:spPr>
          <a:xfrm>
            <a:off x="7337864" y="6538844"/>
            <a:ext cx="5949950" cy="4664363"/>
          </a:xfrm>
          <a:prstGeom prst="roundRect">
            <a:avLst/>
          </a:prstGeom>
          <a:noFill/>
          <a:ln w="38100">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sp macro="" textlink="">
        <xdr:nvSpPr>
          <xdr:cNvPr id="29" name="Rectangle 28">
            <a:extLst>
              <a:ext uri="{FF2B5EF4-FFF2-40B4-BE49-F238E27FC236}">
                <a16:creationId xmlns:a16="http://schemas.microsoft.com/office/drawing/2014/main" id="{2C5DA648-176A-4DEF-9BAC-59066471BD50}"/>
              </a:ext>
            </a:extLst>
          </xdr:cNvPr>
          <xdr:cNvSpPr/>
        </xdr:nvSpPr>
        <xdr:spPr>
          <a:xfrm>
            <a:off x="7590065" y="6776809"/>
            <a:ext cx="2047424" cy="60415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800" i="0">
                <a:solidFill>
                  <a:schemeClr val="bg1"/>
                </a:solidFill>
                <a:latin typeface="Abadi" panose="020B0604020104020204" pitchFamily="34" charset="0"/>
              </a:rPr>
              <a:t>Completion</a:t>
            </a:r>
          </a:p>
        </xdr:txBody>
      </xdr:sp>
      <xdr:sp macro="" textlink="">
        <xdr:nvSpPr>
          <xdr:cNvPr id="30" name="Rectangle 29">
            <a:extLst>
              <a:ext uri="{FF2B5EF4-FFF2-40B4-BE49-F238E27FC236}">
                <a16:creationId xmlns:a16="http://schemas.microsoft.com/office/drawing/2014/main" id="{28D61D73-4861-42F2-A9A8-114DF16D6BF2}"/>
              </a:ext>
            </a:extLst>
          </xdr:cNvPr>
          <xdr:cNvSpPr/>
        </xdr:nvSpPr>
        <xdr:spPr>
          <a:xfrm>
            <a:off x="7075340" y="7164606"/>
            <a:ext cx="2047424" cy="5950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1800" i="0">
                <a:solidFill>
                  <a:schemeClr val="bg1"/>
                </a:solidFill>
                <a:latin typeface="Abadi" panose="020B0604020104020204" pitchFamily="34" charset="0"/>
              </a:rPr>
              <a:t>Status</a:t>
            </a:r>
          </a:p>
        </xdr:txBody>
      </xdr:sp>
    </xdr:grpSp>
    <xdr:clientData/>
  </xdr:twoCellAnchor>
  <xdr:twoCellAnchor>
    <xdr:from>
      <xdr:col>12</xdr:col>
      <xdr:colOff>109128</xdr:colOff>
      <xdr:row>63</xdr:row>
      <xdr:rowOff>80547</xdr:rowOff>
    </xdr:from>
    <xdr:to>
      <xdr:col>22</xdr:col>
      <xdr:colOff>26181</xdr:colOff>
      <xdr:row>79</xdr:row>
      <xdr:rowOff>76200</xdr:rowOff>
    </xdr:to>
    <xdr:sp macro="" textlink="">
      <xdr:nvSpPr>
        <xdr:cNvPr id="32" name="Rectangle: Rounded Corners 31">
          <a:extLst>
            <a:ext uri="{FF2B5EF4-FFF2-40B4-BE49-F238E27FC236}">
              <a16:creationId xmlns:a16="http://schemas.microsoft.com/office/drawing/2014/main" id="{FFB19E28-EDD3-4707-B940-607C011AE9F2}"/>
            </a:ext>
          </a:extLst>
        </xdr:cNvPr>
        <xdr:cNvSpPr/>
      </xdr:nvSpPr>
      <xdr:spPr>
        <a:xfrm>
          <a:off x="7402557" y="11510547"/>
          <a:ext cx="5994910" cy="2898510"/>
        </a:xfrm>
        <a:prstGeom prst="roundRect">
          <a:avLst/>
        </a:prstGeom>
        <a:noFill/>
        <a:ln w="38100">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12</xdr:col>
      <xdr:colOff>42036</xdr:colOff>
      <xdr:row>64</xdr:row>
      <xdr:rowOff>8962</xdr:rowOff>
    </xdr:from>
    <xdr:to>
      <xdr:col>17</xdr:col>
      <xdr:colOff>318591</xdr:colOff>
      <xdr:row>67</xdr:row>
      <xdr:rowOff>41267</xdr:rowOff>
    </xdr:to>
    <xdr:sp macro="" textlink="">
      <xdr:nvSpPr>
        <xdr:cNvPr id="34" name="Rectangle 33">
          <a:extLst>
            <a:ext uri="{FF2B5EF4-FFF2-40B4-BE49-F238E27FC236}">
              <a16:creationId xmlns:a16="http://schemas.microsoft.com/office/drawing/2014/main" id="{311783DE-585F-4AB2-A759-8C8DED015317}"/>
            </a:ext>
          </a:extLst>
        </xdr:cNvPr>
        <xdr:cNvSpPr/>
      </xdr:nvSpPr>
      <xdr:spPr>
        <a:xfrm>
          <a:off x="7335465" y="11620391"/>
          <a:ext cx="3315483" cy="57659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400" i="0">
              <a:solidFill>
                <a:schemeClr val="bg1"/>
              </a:solidFill>
              <a:latin typeface="Abadi" panose="020B0604020104020204" pitchFamily="34" charset="0"/>
            </a:rPr>
            <a:t>Top 5 Sales Growth</a:t>
          </a:r>
        </a:p>
      </xdr:txBody>
    </xdr:sp>
    <xdr:clientData/>
  </xdr:twoCellAnchor>
  <xdr:twoCellAnchor>
    <xdr:from>
      <xdr:col>11</xdr:col>
      <xdr:colOff>534503</xdr:colOff>
      <xdr:row>65</xdr:row>
      <xdr:rowOff>175625</xdr:rowOff>
    </xdr:from>
    <xdr:to>
      <xdr:col>15</xdr:col>
      <xdr:colOff>165348</xdr:colOff>
      <xdr:row>69</xdr:row>
      <xdr:rowOff>17842</xdr:rowOff>
    </xdr:to>
    <xdr:sp macro="" textlink="">
      <xdr:nvSpPr>
        <xdr:cNvPr id="35" name="Rectangle 34">
          <a:extLst>
            <a:ext uri="{FF2B5EF4-FFF2-40B4-BE49-F238E27FC236}">
              <a16:creationId xmlns:a16="http://schemas.microsoft.com/office/drawing/2014/main" id="{649F3EA5-74A1-4B5D-8C98-DA19578CB430}"/>
            </a:ext>
          </a:extLst>
        </xdr:cNvPr>
        <xdr:cNvSpPr/>
      </xdr:nvSpPr>
      <xdr:spPr>
        <a:xfrm>
          <a:off x="7220146" y="11968482"/>
          <a:ext cx="2061988" cy="56793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2000" i="0">
              <a:solidFill>
                <a:schemeClr val="bg1"/>
              </a:solidFill>
              <a:latin typeface="Abadi" panose="020B0604020104020204" pitchFamily="34" charset="0"/>
            </a:rPr>
            <a:t>Historical</a:t>
          </a:r>
        </a:p>
      </xdr:txBody>
    </xdr:sp>
    <xdr:clientData/>
  </xdr:twoCellAnchor>
  <xdr:twoCellAnchor>
    <xdr:from>
      <xdr:col>3</xdr:col>
      <xdr:colOff>103910</xdr:colOff>
      <xdr:row>2</xdr:row>
      <xdr:rowOff>80818</xdr:rowOff>
    </xdr:from>
    <xdr:to>
      <xdr:col>22</xdr:col>
      <xdr:colOff>115455</xdr:colOff>
      <xdr:row>9</xdr:row>
      <xdr:rowOff>122877</xdr:rowOff>
    </xdr:to>
    <xdr:sp macro="" textlink="">
      <xdr:nvSpPr>
        <xdr:cNvPr id="37" name="Rectangle 36">
          <a:extLst>
            <a:ext uri="{FF2B5EF4-FFF2-40B4-BE49-F238E27FC236}">
              <a16:creationId xmlns:a16="http://schemas.microsoft.com/office/drawing/2014/main" id="{BECEE93F-EC85-4FF4-BC50-5B28FAFAC98B}"/>
            </a:ext>
          </a:extLst>
        </xdr:cNvPr>
        <xdr:cNvSpPr/>
      </xdr:nvSpPr>
      <xdr:spPr>
        <a:xfrm>
          <a:off x="1939637" y="450273"/>
          <a:ext cx="11637818" cy="13351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D" sz="8000" i="0">
              <a:solidFill>
                <a:schemeClr val="bg1"/>
              </a:solidFill>
              <a:latin typeface="Abadi" panose="020B0604020104020204" pitchFamily="34" charset="0"/>
            </a:rPr>
            <a:t>Packaging</a:t>
          </a:r>
          <a:r>
            <a:rPr lang="en-ID" sz="8000" i="0" baseline="0">
              <a:solidFill>
                <a:schemeClr val="bg1"/>
              </a:solidFill>
              <a:latin typeface="Abadi" panose="020B0604020104020204" pitchFamily="34" charset="0"/>
            </a:rPr>
            <a:t> </a:t>
          </a:r>
          <a:r>
            <a:rPr lang="en-ID" sz="8000" i="0">
              <a:solidFill>
                <a:schemeClr val="bg1"/>
              </a:solidFill>
              <a:latin typeface="Abadi" panose="020B0604020104020204" pitchFamily="34" charset="0"/>
            </a:rPr>
            <a:t>Sales Report</a:t>
          </a:r>
        </a:p>
      </xdr:txBody>
    </xdr:sp>
    <xdr:clientData/>
  </xdr:twoCellAnchor>
  <xdr:twoCellAnchor editAs="oneCell">
    <xdr:from>
      <xdr:col>2</xdr:col>
      <xdr:colOff>127000</xdr:colOff>
      <xdr:row>3</xdr:row>
      <xdr:rowOff>2</xdr:rowOff>
    </xdr:from>
    <xdr:to>
      <xdr:col>4</xdr:col>
      <xdr:colOff>36944</xdr:colOff>
      <xdr:row>9</xdr:row>
      <xdr:rowOff>25401</xdr:rowOff>
    </xdr:to>
    <xdr:pic>
      <xdr:nvPicPr>
        <xdr:cNvPr id="43" name="Graphic 42" descr="Bar graph with upward trend with solid fill">
          <a:extLst>
            <a:ext uri="{FF2B5EF4-FFF2-40B4-BE49-F238E27FC236}">
              <a16:creationId xmlns:a16="http://schemas.microsoft.com/office/drawing/2014/main" id="{9F1C6E48-3B0A-45FD-9FD5-D7D4E6A67A9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50818" y="554184"/>
          <a:ext cx="1133762" cy="1133762"/>
        </a:xfrm>
        <a:prstGeom prst="rect">
          <a:avLst/>
        </a:prstGeom>
      </xdr:spPr>
    </xdr:pic>
    <xdr:clientData/>
  </xdr:twoCellAnchor>
  <xdr:twoCellAnchor>
    <xdr:from>
      <xdr:col>12</xdr:col>
      <xdr:colOff>90715</xdr:colOff>
      <xdr:row>38</xdr:row>
      <xdr:rowOff>172357</xdr:rowOff>
    </xdr:from>
    <xdr:to>
      <xdr:col>22</xdr:col>
      <xdr:colOff>27215</xdr:colOff>
      <xdr:row>59</xdr:row>
      <xdr:rowOff>27214</xdr:rowOff>
    </xdr:to>
    <xdr:graphicFrame macro="">
      <xdr:nvGraphicFramePr>
        <xdr:cNvPr id="33" name="Chart 32">
          <a:extLst>
            <a:ext uri="{FF2B5EF4-FFF2-40B4-BE49-F238E27FC236}">
              <a16:creationId xmlns:a16="http://schemas.microsoft.com/office/drawing/2014/main" id="{6183EA88-C15F-4454-B2DC-2BA4BD280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453570</xdr:colOff>
      <xdr:row>53</xdr:row>
      <xdr:rowOff>81643</xdr:rowOff>
    </xdr:from>
    <xdr:to>
      <xdr:col>15</xdr:col>
      <xdr:colOff>508000</xdr:colOff>
      <xdr:row>59</xdr:row>
      <xdr:rowOff>118383</xdr:rowOff>
    </xdr:to>
    <mc:AlternateContent xmlns:mc="http://schemas.openxmlformats.org/markup-compatibility/2006" xmlns:tsle="http://schemas.microsoft.com/office/drawing/2012/timeslicer">
      <mc:Choice Requires="tsle">
        <xdr:graphicFrame macro="">
          <xdr:nvGraphicFramePr>
            <xdr:cNvPr id="38" name="Tanggal">
              <a:extLst>
                <a:ext uri="{FF2B5EF4-FFF2-40B4-BE49-F238E27FC236}">
                  <a16:creationId xmlns:a16="http://schemas.microsoft.com/office/drawing/2014/main" id="{AC311B8A-397E-4A55-8CED-C222DCB3E4F7}"/>
                </a:ext>
              </a:extLst>
            </xdr:cNvPr>
            <xdr:cNvGraphicFramePr/>
          </xdr:nvGraphicFramePr>
          <xdr:xfrm>
            <a:off x="0" y="0"/>
            <a:ext cx="0" cy="0"/>
          </xdr:xfrm>
          <a:graphic>
            <a:graphicData uri="http://schemas.microsoft.com/office/drawing/2012/timeslicer">
              <tsle:timeslicer name="Tanggal"/>
            </a:graphicData>
          </a:graphic>
        </xdr:graphicFrame>
      </mc:Choice>
      <mc:Fallback xmlns="">
        <xdr:sp macro="" textlink="">
          <xdr:nvSpPr>
            <xdr:cNvPr id="0" name=""/>
            <xdr:cNvSpPr>
              <a:spLocks noTextEdit="1"/>
            </xdr:cNvSpPr>
          </xdr:nvSpPr>
          <xdr:spPr>
            <a:xfrm>
              <a:off x="7835445" y="9547112"/>
              <a:ext cx="1899899" cy="1108302"/>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ym_xg1tqji" refreshedDate="45939.408609259262" createdVersion="7" refreshedVersion="7" minRefreshableVersion="3" recordCount="109" xr:uid="{2E76A267-4A41-440A-8E3A-04B1B866BF7A}">
  <cacheSource type="worksheet">
    <worksheetSource ref="A1:G110" sheet="Clean_Data"/>
  </cacheSource>
  <cacheFields count="8">
    <cacheField name="Tanggal" numFmtId="14">
      <sharedItems containsSemiMixedTypes="0" containsNonDate="0" containsDate="1" containsString="0" minDate="2022-07-08T00:00:00" maxDate="2022-09-25T00:00:00" count="24">
        <d v="2022-09-24T00:00:00"/>
        <d v="2022-09-19T00:00:00"/>
        <d v="2022-09-14T00:00:00"/>
        <d v="2022-09-08T00:00:00"/>
        <d v="2022-09-07T00:00:00"/>
        <d v="2022-09-05T00:00:00"/>
        <d v="2022-09-03T00:00:00"/>
        <d v="2022-09-02T00:00:00"/>
        <d v="2022-09-01T00:00:00"/>
        <d v="2022-08-31T00:00:00"/>
        <d v="2022-08-30T00:00:00"/>
        <d v="2022-08-29T00:00:00"/>
        <d v="2022-08-22T00:00:00"/>
        <d v="2022-08-18T00:00:00"/>
        <d v="2022-08-16T00:00:00"/>
        <d v="2022-08-15T00:00:00"/>
        <d v="2022-08-13T00:00:00"/>
        <d v="2022-08-12T00:00:00"/>
        <d v="2022-08-11T00:00:00"/>
        <d v="2022-08-10T00:00:00"/>
        <d v="2022-08-09T00:00:00"/>
        <d v="2022-08-08T00:00:00"/>
        <d v="2022-08-05T00:00:00"/>
        <d v="2022-07-08T00:00:00"/>
      </sharedItems>
      <fieldGroup par="7" base="0">
        <rangePr groupBy="days" startDate="2022-07-08T00:00:00" endDate="2022-09-25T00:00:00"/>
        <groupItems count="368">
          <s v="&lt;08/07/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25/09/2022"/>
        </groupItems>
      </fieldGroup>
    </cacheField>
    <cacheField name="Jenis Produk" numFmtId="14">
      <sharedItems count="26">
        <s v="Ivory 270"/>
        <s v="CraftLaminasi 290"/>
        <s v="Dupleks 310"/>
        <s v="FoodpakMatte 245"/>
        <s v="Ivory 250"/>
        <s v="Foodpak 260Glossy"/>
        <s v="Dupleks 350"/>
        <s v="GreaseProof"/>
        <s v="FoodpakGlossy 260"/>
        <s v="Dupleks 270"/>
        <s v="Foodpak 295"/>
        <s v="Dupleks 400"/>
        <s v="Ivory 300"/>
        <s v="Ivory 230"/>
        <s v="HVS"/>
        <s v="Foodpak 295Matte"/>
        <s v="Dupleks 270Eplex"/>
        <s v="Kinstruk 260"/>
        <s v="CraftFoodpak 290"/>
        <s v="FoodpakGlossy"/>
        <s v="Kinstruk 150"/>
        <s v="Kinstruk 130"/>
        <s v="260 Glossy"/>
        <s v="Foodpak 260 Matte"/>
        <s v="CraftLaminasi"/>
        <s v="Foodpak 260"/>
      </sharedItems>
    </cacheField>
    <cacheField name="Barcode" numFmtId="0">
      <sharedItems containsMixedTypes="1" containsNumber="1" containsInteger="1" minValue="100" maxValue="500"/>
    </cacheField>
    <cacheField name="Jumlah Order" numFmtId="1">
      <sharedItems containsSemiMixedTypes="0" containsString="0" containsNumber="1" containsInteger="1" minValue="500" maxValue="20000"/>
    </cacheField>
    <cacheField name="Harga" numFmtId="164">
      <sharedItems containsSemiMixedTypes="0" containsString="0" containsNumber="1" containsInteger="1" minValue="250" maxValue="5500"/>
    </cacheField>
    <cacheField name="Total" numFmtId="164">
      <sharedItems containsSemiMixedTypes="0" containsString="0" containsNumber="1" containsInteger="1" minValue="300000" maxValue="6800000"/>
    </cacheField>
    <cacheField name="Status" numFmtId="0">
      <sharedItems count="4">
        <s v="Dalam Proses"/>
        <s v="Selesai "/>
        <s v="Menunggu Pembayaran"/>
        <s v="Dibatalkan"/>
      </sharedItems>
    </cacheField>
    <cacheField name="Months" numFmtId="0" databaseField="0">
      <fieldGroup base="0">
        <rangePr groupBy="months" startDate="2022-07-08T00:00:00" endDate="2022-09-25T00:00:00"/>
        <groupItems count="14">
          <s v="&lt;08/07/2022"/>
          <s v="Jan"/>
          <s v="Feb"/>
          <s v="Mar"/>
          <s v="Apr"/>
          <s v="Mei"/>
          <s v="Jun"/>
          <s v="Jul"/>
          <s v="Agu"/>
          <s v="Sep"/>
          <s v="Okt"/>
          <s v="Nov"/>
          <s v="Des"/>
          <s v="&gt;25/09/2022"/>
        </groupItems>
      </fieldGroup>
    </cacheField>
  </cacheFields>
  <extLst>
    <ext xmlns:x14="http://schemas.microsoft.com/office/spreadsheetml/2009/9/main" uri="{725AE2AE-9491-48be-B2B4-4EB974FC3084}">
      <x14:pivotCacheDefinition pivotCacheId="304519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x v="0"/>
    <n v="270"/>
    <n v="2000"/>
    <n v="950"/>
    <n v="1900000"/>
    <x v="0"/>
  </r>
  <r>
    <x v="0"/>
    <x v="1"/>
    <n v="290"/>
    <n v="2000"/>
    <n v="1850"/>
    <n v="3700000"/>
    <x v="0"/>
  </r>
  <r>
    <x v="0"/>
    <x v="1"/>
    <n v="290"/>
    <n v="2000"/>
    <n v="900"/>
    <n v="1800000"/>
    <x v="1"/>
  </r>
  <r>
    <x v="0"/>
    <x v="1"/>
    <n v="290"/>
    <n v="3000"/>
    <n v="1000"/>
    <n v="3000000"/>
    <x v="2"/>
  </r>
  <r>
    <x v="0"/>
    <x v="2"/>
    <n v="310"/>
    <n v="1000"/>
    <n v="1900"/>
    <n v="1900000"/>
    <x v="2"/>
  </r>
  <r>
    <x v="0"/>
    <x v="2"/>
    <n v="310"/>
    <n v="1000"/>
    <n v="1900"/>
    <n v="1900000"/>
    <x v="2"/>
  </r>
  <r>
    <x v="0"/>
    <x v="2"/>
    <n v="310"/>
    <n v="1000"/>
    <n v="2200"/>
    <n v="2200000"/>
    <x v="2"/>
  </r>
  <r>
    <x v="0"/>
    <x v="2"/>
    <n v="310"/>
    <n v="1000"/>
    <n v="1550"/>
    <n v="1550000"/>
    <x v="0"/>
  </r>
  <r>
    <x v="1"/>
    <x v="3"/>
    <n v="245"/>
    <n v="2500"/>
    <n v="700"/>
    <n v="1750000"/>
    <x v="1"/>
  </r>
  <r>
    <x v="1"/>
    <x v="4"/>
    <n v="250"/>
    <n v="1000"/>
    <n v="1650"/>
    <n v="1650000"/>
    <x v="1"/>
  </r>
  <r>
    <x v="1"/>
    <x v="5"/>
    <n v="260"/>
    <n v="1000"/>
    <n v="1650"/>
    <n v="1650000"/>
    <x v="1"/>
  </r>
  <r>
    <x v="1"/>
    <x v="5"/>
    <n v="260"/>
    <n v="2000"/>
    <n v="2300"/>
    <n v="4600000"/>
    <x v="1"/>
  </r>
  <r>
    <x v="1"/>
    <x v="1"/>
    <n v="290"/>
    <n v="5000"/>
    <n v="1200"/>
    <n v="6000000"/>
    <x v="1"/>
  </r>
  <r>
    <x v="1"/>
    <x v="1"/>
    <n v="290"/>
    <n v="4000"/>
    <n v="1700"/>
    <n v="6800000"/>
    <x v="3"/>
  </r>
  <r>
    <x v="1"/>
    <x v="1"/>
    <n v="290"/>
    <n v="1000"/>
    <n v="1200"/>
    <n v="1200000"/>
    <x v="1"/>
  </r>
  <r>
    <x v="1"/>
    <x v="1"/>
    <n v="290"/>
    <n v="3000"/>
    <n v="1700"/>
    <n v="5100000"/>
    <x v="2"/>
  </r>
  <r>
    <x v="1"/>
    <x v="1"/>
    <n v="290"/>
    <n v="1000"/>
    <n v="1200"/>
    <n v="1200000"/>
    <x v="1"/>
  </r>
  <r>
    <x v="1"/>
    <x v="2"/>
    <n v="310"/>
    <n v="500"/>
    <n v="1450"/>
    <n v="725000"/>
    <x v="1"/>
  </r>
  <r>
    <x v="1"/>
    <x v="2"/>
    <n v="310"/>
    <n v="1000"/>
    <n v="1400"/>
    <n v="1400000"/>
    <x v="2"/>
  </r>
  <r>
    <x v="1"/>
    <x v="2"/>
    <n v="310"/>
    <n v="1000"/>
    <n v="1400"/>
    <n v="1400000"/>
    <x v="1"/>
  </r>
  <r>
    <x v="1"/>
    <x v="6"/>
    <n v="350"/>
    <n v="2000"/>
    <n v="1600"/>
    <n v="3200000"/>
    <x v="1"/>
  </r>
  <r>
    <x v="1"/>
    <x v="6"/>
    <n v="350"/>
    <n v="2000"/>
    <n v="1500"/>
    <n v="3000000"/>
    <x v="1"/>
  </r>
  <r>
    <x v="2"/>
    <x v="7"/>
    <n v="100"/>
    <n v="1000"/>
    <n v="950"/>
    <n v="950000"/>
    <x v="1"/>
  </r>
  <r>
    <x v="2"/>
    <x v="8"/>
    <n v="260"/>
    <n v="1000"/>
    <n v="1800"/>
    <n v="1800000"/>
    <x v="0"/>
  </r>
  <r>
    <x v="2"/>
    <x v="5"/>
    <n v="260"/>
    <n v="1000"/>
    <n v="1600"/>
    <n v="1600000"/>
    <x v="1"/>
  </r>
  <r>
    <x v="2"/>
    <x v="9"/>
    <n v="270"/>
    <n v="1000"/>
    <n v="1800"/>
    <n v="1800000"/>
    <x v="3"/>
  </r>
  <r>
    <x v="2"/>
    <x v="1"/>
    <n v="290"/>
    <n v="2000"/>
    <n v="1950"/>
    <n v="3900000"/>
    <x v="2"/>
  </r>
  <r>
    <x v="2"/>
    <x v="1"/>
    <n v="290"/>
    <n v="1000"/>
    <n v="1200"/>
    <n v="1200000"/>
    <x v="3"/>
  </r>
  <r>
    <x v="2"/>
    <x v="10"/>
    <n v="295"/>
    <n v="1000"/>
    <n v="1600"/>
    <n v="1600000"/>
    <x v="0"/>
  </r>
  <r>
    <x v="2"/>
    <x v="10"/>
    <n v="295"/>
    <n v="1000"/>
    <n v="1600"/>
    <n v="1600000"/>
    <x v="2"/>
  </r>
  <r>
    <x v="2"/>
    <x v="6"/>
    <n v="350"/>
    <n v="1000"/>
    <n v="2800"/>
    <n v="2800000"/>
    <x v="2"/>
  </r>
  <r>
    <x v="2"/>
    <x v="6"/>
    <n v="350"/>
    <n v="2000"/>
    <n v="1975"/>
    <n v="3950000"/>
    <x v="0"/>
  </r>
  <r>
    <x v="2"/>
    <x v="6"/>
    <n v="350"/>
    <n v="1000"/>
    <n v="2500"/>
    <n v="2500000"/>
    <x v="3"/>
  </r>
  <r>
    <x v="2"/>
    <x v="11"/>
    <n v="400"/>
    <n v="1000"/>
    <n v="2500"/>
    <n v="2500000"/>
    <x v="1"/>
  </r>
  <r>
    <x v="3"/>
    <x v="7"/>
    <n v="100"/>
    <n v="1000"/>
    <n v="300"/>
    <n v="300000"/>
    <x v="1"/>
  </r>
  <r>
    <x v="3"/>
    <x v="0"/>
    <n v="270"/>
    <n v="500"/>
    <n v="5500"/>
    <n v="2750000"/>
    <x v="1"/>
  </r>
  <r>
    <x v="3"/>
    <x v="1"/>
    <n v="290"/>
    <n v="5000"/>
    <n v="850"/>
    <n v="4250000"/>
    <x v="1"/>
  </r>
  <r>
    <x v="3"/>
    <x v="12"/>
    <n v="300"/>
    <n v="1000"/>
    <n v="2500"/>
    <n v="2500000"/>
    <x v="1"/>
  </r>
  <r>
    <x v="3"/>
    <x v="12"/>
    <n v="300"/>
    <n v="2000"/>
    <n v="1500"/>
    <n v="3000000"/>
    <x v="3"/>
  </r>
  <r>
    <x v="3"/>
    <x v="2"/>
    <n v="310"/>
    <n v="1000"/>
    <n v="2000"/>
    <n v="2000000"/>
    <x v="1"/>
  </r>
  <r>
    <x v="3"/>
    <x v="6"/>
    <n v="350"/>
    <n v="500"/>
    <n v="5500"/>
    <n v="2750000"/>
    <x v="1"/>
  </r>
  <r>
    <x v="4"/>
    <x v="7"/>
    <n v="100"/>
    <n v="1000"/>
    <n v="400"/>
    <n v="400000"/>
    <x v="1"/>
  </r>
  <r>
    <x v="4"/>
    <x v="2"/>
    <n v="310"/>
    <n v="2000"/>
    <n v="1600"/>
    <n v="3200000"/>
    <x v="0"/>
  </r>
  <r>
    <x v="4"/>
    <x v="2"/>
    <n v="310"/>
    <n v="2000"/>
    <n v="1600"/>
    <n v="3200000"/>
    <x v="0"/>
  </r>
  <r>
    <x v="5"/>
    <x v="13"/>
    <n v="230"/>
    <n v="1000"/>
    <n v="1200"/>
    <n v="1200000"/>
    <x v="0"/>
  </r>
  <r>
    <x v="5"/>
    <x v="5"/>
    <n v="260"/>
    <n v="5000"/>
    <n v="1200"/>
    <n v="6000000"/>
    <x v="0"/>
  </r>
  <r>
    <x v="5"/>
    <x v="1"/>
    <n v="290"/>
    <n v="1000"/>
    <n v="1100"/>
    <n v="1100000"/>
    <x v="0"/>
  </r>
  <r>
    <x v="6"/>
    <x v="1"/>
    <n v="290"/>
    <n v="6000"/>
    <n v="950"/>
    <n v="5700000"/>
    <x v="2"/>
  </r>
  <r>
    <x v="6"/>
    <x v="14"/>
    <n v="300"/>
    <n v="20000"/>
    <n v="250"/>
    <n v="5000000"/>
    <x v="0"/>
  </r>
  <r>
    <x v="7"/>
    <x v="13"/>
    <n v="230"/>
    <n v="2000"/>
    <n v="945"/>
    <n v="1890000"/>
    <x v="1"/>
  </r>
  <r>
    <x v="7"/>
    <x v="1"/>
    <n v="290"/>
    <n v="5000"/>
    <n v="800"/>
    <n v="4000000"/>
    <x v="1"/>
  </r>
  <r>
    <x v="7"/>
    <x v="2"/>
    <n v="310"/>
    <n v="1000"/>
    <n v="1500"/>
    <n v="1500000"/>
    <x v="1"/>
  </r>
  <r>
    <x v="7"/>
    <x v="6"/>
    <n v="350"/>
    <n v="2000"/>
    <n v="1500"/>
    <n v="3000000"/>
    <x v="1"/>
  </r>
  <r>
    <x v="7"/>
    <x v="7"/>
    <s v="oof"/>
    <n v="1000"/>
    <n v="500"/>
    <n v="500000"/>
    <x v="1"/>
  </r>
  <r>
    <x v="8"/>
    <x v="15"/>
    <n v="295"/>
    <n v="1000"/>
    <n v="1900"/>
    <n v="1900000"/>
    <x v="1"/>
  </r>
  <r>
    <x v="9"/>
    <x v="7"/>
    <n v="100"/>
    <n v="1000"/>
    <n v="400"/>
    <n v="400000"/>
    <x v="3"/>
  </r>
  <r>
    <x v="9"/>
    <x v="4"/>
    <n v="250"/>
    <n v="1000"/>
    <n v="1600"/>
    <n v="1600000"/>
    <x v="2"/>
  </r>
  <r>
    <x v="10"/>
    <x v="16"/>
    <n v="270"/>
    <n v="3000"/>
    <n v="1300"/>
    <n v="3900000"/>
    <x v="1"/>
  </r>
  <r>
    <x v="10"/>
    <x v="12"/>
    <n v="300"/>
    <n v="1000"/>
    <n v="1700"/>
    <n v="1700000"/>
    <x v="1"/>
  </r>
  <r>
    <x v="10"/>
    <x v="2"/>
    <n v="310"/>
    <n v="1500"/>
    <n v="1900"/>
    <n v="2850000"/>
    <x v="1"/>
  </r>
  <r>
    <x v="10"/>
    <x v="2"/>
    <n v="310"/>
    <n v="1000"/>
    <n v="2200"/>
    <n v="2200000"/>
    <x v="2"/>
  </r>
  <r>
    <x v="11"/>
    <x v="13"/>
    <n v="230"/>
    <n v="2000"/>
    <n v="1450"/>
    <n v="2900000"/>
    <x v="1"/>
  </r>
  <r>
    <x v="11"/>
    <x v="2"/>
    <n v="310"/>
    <n v="1000"/>
    <n v="1550"/>
    <n v="1550000"/>
    <x v="1"/>
  </r>
  <r>
    <x v="11"/>
    <x v="2"/>
    <n v="310"/>
    <n v="1000"/>
    <n v="1800"/>
    <n v="1800000"/>
    <x v="1"/>
  </r>
  <r>
    <x v="12"/>
    <x v="17"/>
    <n v="260"/>
    <n v="3500"/>
    <n v="1650"/>
    <n v="5775000"/>
    <x v="1"/>
  </r>
  <r>
    <x v="12"/>
    <x v="18"/>
    <n v="290"/>
    <n v="3500"/>
    <n v="1300"/>
    <n v="4550000"/>
    <x v="2"/>
  </r>
  <r>
    <x v="12"/>
    <x v="18"/>
    <n v="290"/>
    <n v="2000"/>
    <n v="1200"/>
    <n v="2400000"/>
    <x v="2"/>
  </r>
  <r>
    <x v="12"/>
    <x v="18"/>
    <n v="290"/>
    <n v="2000"/>
    <n v="1850"/>
    <n v="3700000"/>
    <x v="1"/>
  </r>
  <r>
    <x v="12"/>
    <x v="2"/>
    <n v="310"/>
    <n v="2000"/>
    <n v="1710"/>
    <n v="3420000"/>
    <x v="1"/>
  </r>
  <r>
    <x v="12"/>
    <x v="2"/>
    <n v="310"/>
    <n v="1000"/>
    <n v="1900"/>
    <n v="1900000"/>
    <x v="1"/>
  </r>
  <r>
    <x v="12"/>
    <x v="2"/>
    <n v="310"/>
    <n v="2000"/>
    <n v="1800"/>
    <n v="3600000"/>
    <x v="1"/>
  </r>
  <r>
    <x v="12"/>
    <x v="19"/>
    <n v="400"/>
    <n v="1000"/>
    <n v="2300"/>
    <n v="2300000"/>
    <x v="1"/>
  </r>
  <r>
    <x v="13"/>
    <x v="20"/>
    <n v="150"/>
    <n v="500"/>
    <n v="900"/>
    <n v="450000"/>
    <x v="0"/>
  </r>
  <r>
    <x v="13"/>
    <x v="3"/>
    <n v="245"/>
    <n v="1000"/>
    <n v="1800"/>
    <n v="1800000"/>
    <x v="0"/>
  </r>
  <r>
    <x v="13"/>
    <x v="9"/>
    <n v="270"/>
    <n v="500"/>
    <n v="2200"/>
    <n v="1100000"/>
    <x v="0"/>
  </r>
  <r>
    <x v="13"/>
    <x v="18"/>
    <n v="290"/>
    <n v="1000"/>
    <n v="975"/>
    <n v="975000"/>
    <x v="0"/>
  </r>
  <r>
    <x v="14"/>
    <x v="21"/>
    <n v="130"/>
    <n v="2000"/>
    <n v="500"/>
    <n v="1000000"/>
    <x v="0"/>
  </r>
  <r>
    <x v="14"/>
    <x v="2"/>
    <n v="310"/>
    <n v="2000"/>
    <n v="1750"/>
    <n v="3500000"/>
    <x v="0"/>
  </r>
  <r>
    <x v="14"/>
    <x v="6"/>
    <n v="350"/>
    <n v="2000"/>
    <n v="1975"/>
    <n v="3950000"/>
    <x v="0"/>
  </r>
  <r>
    <x v="15"/>
    <x v="13"/>
    <n v="230"/>
    <n v="1500"/>
    <n v="1100"/>
    <n v="1650000"/>
    <x v="1"/>
  </r>
  <r>
    <x v="15"/>
    <x v="13"/>
    <n v="230"/>
    <n v="3000"/>
    <n v="950"/>
    <n v="2850000"/>
    <x v="1"/>
  </r>
  <r>
    <x v="15"/>
    <x v="22"/>
    <n v="260"/>
    <n v="2000"/>
    <n v="2300"/>
    <n v="4600000"/>
    <x v="1"/>
  </r>
  <r>
    <x v="15"/>
    <x v="23"/>
    <n v="260"/>
    <n v="1000"/>
    <n v="2200"/>
    <n v="2200000"/>
    <x v="2"/>
  </r>
  <r>
    <x v="15"/>
    <x v="9"/>
    <n v="270"/>
    <n v="1000"/>
    <n v="1900"/>
    <n v="1900000"/>
    <x v="0"/>
  </r>
  <r>
    <x v="15"/>
    <x v="18"/>
    <n v="290"/>
    <n v="1000"/>
    <n v="2200"/>
    <n v="2200000"/>
    <x v="3"/>
  </r>
  <r>
    <x v="15"/>
    <x v="18"/>
    <n v="290"/>
    <n v="3000"/>
    <n v="875"/>
    <n v="2625000"/>
    <x v="1"/>
  </r>
  <r>
    <x v="15"/>
    <x v="2"/>
    <n v="310"/>
    <n v="2000"/>
    <n v="1600"/>
    <n v="3200000"/>
    <x v="1"/>
  </r>
  <r>
    <x v="16"/>
    <x v="7"/>
    <n v="100"/>
    <n v="1500"/>
    <n v="300"/>
    <n v="450000"/>
    <x v="1"/>
  </r>
  <r>
    <x v="17"/>
    <x v="0"/>
    <n v="270"/>
    <n v="1000"/>
    <n v="2000"/>
    <n v="2000000"/>
    <x v="0"/>
  </r>
  <r>
    <x v="17"/>
    <x v="1"/>
    <n v="290"/>
    <n v="3000"/>
    <n v="800"/>
    <n v="2400000"/>
    <x v="1"/>
  </r>
  <r>
    <x v="17"/>
    <x v="1"/>
    <n v="290"/>
    <n v="500"/>
    <n v="600"/>
    <n v="300000"/>
    <x v="0"/>
  </r>
  <r>
    <x v="17"/>
    <x v="6"/>
    <n v="350"/>
    <n v="1000"/>
    <n v="2200"/>
    <n v="2200000"/>
    <x v="1"/>
  </r>
  <r>
    <x v="17"/>
    <x v="24"/>
    <n v="500"/>
    <n v="1000"/>
    <n v="1200"/>
    <n v="1200000"/>
    <x v="3"/>
  </r>
  <r>
    <x v="18"/>
    <x v="1"/>
    <n v="290"/>
    <n v="1000"/>
    <n v="850"/>
    <n v="850000"/>
    <x v="1"/>
  </r>
  <r>
    <x v="18"/>
    <x v="2"/>
    <n v="310"/>
    <n v="2000"/>
    <n v="1300"/>
    <n v="2600000"/>
    <x v="1"/>
  </r>
  <r>
    <x v="18"/>
    <x v="6"/>
    <n v="350"/>
    <n v="500"/>
    <n v="1800"/>
    <n v="900000"/>
    <x v="1"/>
  </r>
  <r>
    <x v="18"/>
    <x v="6"/>
    <n v="350"/>
    <n v="500"/>
    <n v="1800"/>
    <n v="900000"/>
    <x v="1"/>
  </r>
  <r>
    <x v="19"/>
    <x v="0"/>
    <n v="270"/>
    <n v="1000"/>
    <n v="2000"/>
    <n v="2000000"/>
    <x v="3"/>
  </r>
  <r>
    <x v="19"/>
    <x v="2"/>
    <n v="310"/>
    <n v="500"/>
    <n v="1600"/>
    <n v="800000"/>
    <x v="2"/>
  </r>
  <r>
    <x v="20"/>
    <x v="21"/>
    <n v="130"/>
    <n v="1000"/>
    <n v="1000"/>
    <n v="1000000"/>
    <x v="0"/>
  </r>
  <r>
    <x v="20"/>
    <x v="6"/>
    <n v="350"/>
    <n v="500"/>
    <n v="1800"/>
    <n v="900000"/>
    <x v="1"/>
  </r>
  <r>
    <x v="21"/>
    <x v="0"/>
    <n v="270"/>
    <n v="1000"/>
    <n v="1700"/>
    <n v="1700000"/>
    <x v="0"/>
  </r>
  <r>
    <x v="21"/>
    <x v="0"/>
    <n v="270"/>
    <n v="1000"/>
    <n v="1700"/>
    <n v="1700000"/>
    <x v="0"/>
  </r>
  <r>
    <x v="21"/>
    <x v="2"/>
    <n v="310"/>
    <n v="500"/>
    <n v="1900"/>
    <n v="950000"/>
    <x v="0"/>
  </r>
  <r>
    <x v="22"/>
    <x v="3"/>
    <n v="245"/>
    <n v="1000"/>
    <n v="1900"/>
    <n v="1900000"/>
    <x v="1"/>
  </r>
  <r>
    <x v="22"/>
    <x v="25"/>
    <n v="260"/>
    <n v="1000"/>
    <n v="1800"/>
    <n v="1800000"/>
    <x v="1"/>
  </r>
  <r>
    <x v="22"/>
    <x v="1"/>
    <n v="290"/>
    <n v="5000"/>
    <n v="750"/>
    <n v="3750000"/>
    <x v="1"/>
  </r>
  <r>
    <x v="22"/>
    <x v="1"/>
    <n v="290"/>
    <n v="1000"/>
    <n v="1200"/>
    <n v="1200000"/>
    <x v="3"/>
  </r>
  <r>
    <x v="23"/>
    <x v="2"/>
    <n v="310"/>
    <n v="1000"/>
    <n v="1550"/>
    <n v="155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FC8E9-AEDF-455C-8F79-302F2DFE510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E12:F18"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5 Besar Jumlah Order Terbanyak" axis="axisRow" showAll="0" measureFilter="1" sortType="ascending">
      <items count="27">
        <item x="17"/>
        <item x="20"/>
        <item x="21"/>
        <item x="12"/>
        <item x="0"/>
        <item x="4"/>
        <item x="13"/>
        <item x="14"/>
        <item x="7"/>
        <item x="3"/>
        <item x="8"/>
        <item x="19"/>
        <item x="15"/>
        <item x="10"/>
        <item x="5"/>
        <item x="23"/>
        <item x="25"/>
        <item x="11"/>
        <item x="6"/>
        <item x="2"/>
        <item x="16"/>
        <item x="9"/>
        <item x="1"/>
        <item x="24"/>
        <item x="18"/>
        <item x="22"/>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64" showAll="0"/>
    <pivotField numFmtId="164" showAll="0"/>
    <pivotField showAll="0"/>
    <pivotField showAll="0">
      <items count="15">
        <item sd="0" x="0"/>
        <item sd="0" x="1"/>
        <item sd="0" x="2"/>
        <item sd="0" x="3"/>
        <item sd="0" x="4"/>
        <item sd="0" x="5"/>
        <item sd="0" x="6"/>
        <item x="7"/>
        <item x="8"/>
        <item x="9"/>
        <item sd="0" x="10"/>
        <item sd="0" x="11"/>
        <item sd="0" x="12"/>
        <item sd="0" x="13"/>
        <item t="default"/>
      </items>
    </pivotField>
  </pivotFields>
  <rowFields count="1">
    <field x="1"/>
  </rowFields>
  <rowItems count="6">
    <i>
      <x v="24"/>
    </i>
    <i>
      <x v="18"/>
    </i>
    <i>
      <x v="7"/>
    </i>
    <i>
      <x v="19"/>
    </i>
    <i>
      <x v="22"/>
    </i>
    <i t="grand">
      <x/>
    </i>
  </rowItems>
  <colItems count="1">
    <i/>
  </colItems>
  <dataFields count="1">
    <dataField name="Sum of Jumlah Order" fld="3"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0F624-C3FF-4166-A47C-8771D9FA4267}"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2">
  <location ref="H23:I28" firstHeaderRow="1" firstDataRow="1" firstDataCol="1" rowPageCount="1" colPageCount="1"/>
  <pivotFields count="8">
    <pivotField axis="axisPage"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 showAll="0"/>
    <pivotField numFmtId="164" showAll="0"/>
    <pivotField numFmtId="164" showAll="0"/>
    <pivotField name="Persebaran Status Order" axis="axisRow" dataField="1" showAll="0">
      <items count="5">
        <item x="0"/>
        <item x="3"/>
        <item x="2"/>
        <item x="1"/>
        <item t="default"/>
      </items>
    </pivotField>
    <pivotField showAll="0">
      <items count="15">
        <item sd="0" x="0"/>
        <item sd="0" x="1"/>
        <item sd="0" x="2"/>
        <item sd="0" x="3"/>
        <item sd="0" x="4"/>
        <item sd="0" x="5"/>
        <item sd="0" x="6"/>
        <item sd="0" x="7"/>
        <item sd="0" x="8"/>
        <item x="9"/>
        <item sd="0" x="10"/>
        <item sd="0" x="11"/>
        <item sd="0" x="12"/>
        <item sd="0" x="13"/>
        <item t="default"/>
      </items>
    </pivotField>
  </pivotFields>
  <rowFields count="1">
    <field x="6"/>
  </rowFields>
  <rowItems count="5">
    <i>
      <x/>
    </i>
    <i>
      <x v="1"/>
    </i>
    <i>
      <x v="2"/>
    </i>
    <i>
      <x v="3"/>
    </i>
    <i t="grand">
      <x/>
    </i>
  </rowItems>
  <colItems count="1">
    <i/>
  </colItems>
  <pageFields count="1">
    <pageField fld="0" hier="-1"/>
  </pageFields>
  <dataFields count="1">
    <dataField name="Count of Persebaran Status Order" fld="6" subtotal="count" baseField="0" baseItem="0"/>
  </dataFields>
  <chartFormats count="10">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6"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 chart="11" format="10">
      <pivotArea type="data" outline="0" fieldPosition="0">
        <references count="2">
          <reference field="4294967294" count="1" selected="0">
            <x v="0"/>
          </reference>
          <reference field="6" count="1" selected="0">
            <x v="2"/>
          </reference>
        </references>
      </pivotArea>
    </chartFormat>
    <chartFormat chart="11"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0" type="dateBetween" evalOrder="-1" id="88" name="Tanggal">
      <autoFilter ref="A1">
        <filterColumn colId="0">
          <customFilters and="1">
            <customFilter operator="greaterThanOrEqual" val="44805"/>
            <customFilter operator="lessThanOrEqual" val="448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667E4-82AA-481E-9206-17F936F7A23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E21:F25"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Jenis Produk" axis="axisRow" showAll="0">
      <items count="27">
        <item h="1" x="17"/>
        <item h="1" x="20"/>
        <item h="1" x="21"/>
        <item h="1" x="12"/>
        <item h="1" x="0"/>
        <item h="1" x="4"/>
        <item h="1" x="13"/>
        <item h="1" x="14"/>
        <item h="1" x="7"/>
        <item h="1" x="3"/>
        <item h="1" x="8"/>
        <item h="1" x="19"/>
        <item h="1" x="15"/>
        <item h="1" x="10"/>
        <item h="1" x="5"/>
        <item h="1" x="23"/>
        <item h="1" x="25"/>
        <item h="1" x="11"/>
        <item x="6"/>
        <item h="1" x="2"/>
        <item h="1" x="16"/>
        <item x="9"/>
        <item h="1" x="1"/>
        <item x="24"/>
        <item h="1" x="18"/>
        <item h="1" x="22"/>
        <item t="default"/>
      </items>
    </pivotField>
    <pivotField showAll="0"/>
    <pivotField numFmtId="1" showAll="0"/>
    <pivotField numFmtId="164" showAll="0"/>
    <pivotField dataField="1" numFmtId="164" showAll="0"/>
    <pivotField showAll="0"/>
    <pivotField showAll="0">
      <items count="15">
        <item sd="0" x="0"/>
        <item sd="0" x="1"/>
        <item sd="0" x="2"/>
        <item sd="0" x="3"/>
        <item sd="0" x="4"/>
        <item sd="0" x="5"/>
        <item sd="0" x="6"/>
        <item x="7"/>
        <item x="8"/>
        <item x="9"/>
        <item sd="0" x="10"/>
        <item sd="0" x="11"/>
        <item sd="0" x="12"/>
        <item sd="0" x="13"/>
        <item t="default"/>
      </items>
    </pivotField>
  </pivotFields>
  <rowFields count="1">
    <field x="1"/>
  </rowFields>
  <rowItems count="4">
    <i>
      <x v="18"/>
    </i>
    <i>
      <x v="21"/>
    </i>
    <i>
      <x v="23"/>
    </i>
    <i t="grand">
      <x/>
    </i>
  </rowItems>
  <colItems count="1">
    <i/>
  </colItems>
  <dataFields count="1">
    <dataField name="Sum of Total" fld="5"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3A06B1-5FE4-431E-BA71-2AE419EA71A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31"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 showAll="0"/>
    <pivotField numFmtId="164" showAll="0"/>
    <pivotField dataField="1" numFmtId="164" showAll="0"/>
    <pivotField showAll="0"/>
    <pivotField name="Penjualan Total Historis" axis="axisRow" showAll="0">
      <items count="15">
        <item sd="0" x="0"/>
        <item sd="0" x="1"/>
        <item sd="0" x="2"/>
        <item sd="0" x="3"/>
        <item sd="0" x="4"/>
        <item sd="0" x="5"/>
        <item sd="0" x="6"/>
        <item x="7"/>
        <item x="8"/>
        <item x="9"/>
        <item sd="0" x="10"/>
        <item sd="0" x="11"/>
        <item sd="0" x="12"/>
        <item sd="0" x="13"/>
        <item t="default"/>
      </items>
    </pivotField>
  </pivotFields>
  <rowFields count="2">
    <field x="7"/>
    <field x="0"/>
  </rowFields>
  <rowItems count="28">
    <i>
      <x v="7"/>
    </i>
    <i r="1">
      <x v="190"/>
    </i>
    <i>
      <x v="8"/>
    </i>
    <i r="1">
      <x v="218"/>
    </i>
    <i r="1">
      <x v="221"/>
    </i>
    <i r="1">
      <x v="222"/>
    </i>
    <i r="1">
      <x v="223"/>
    </i>
    <i r="1">
      <x v="224"/>
    </i>
    <i r="1">
      <x v="225"/>
    </i>
    <i r="1">
      <x v="226"/>
    </i>
    <i r="1">
      <x v="228"/>
    </i>
    <i r="1">
      <x v="229"/>
    </i>
    <i r="1">
      <x v="231"/>
    </i>
    <i r="1">
      <x v="235"/>
    </i>
    <i r="1">
      <x v="242"/>
    </i>
    <i r="1">
      <x v="243"/>
    </i>
    <i r="1">
      <x v="244"/>
    </i>
    <i>
      <x v="9"/>
    </i>
    <i r="1">
      <x v="245"/>
    </i>
    <i r="1">
      <x v="246"/>
    </i>
    <i r="1">
      <x v="247"/>
    </i>
    <i r="1">
      <x v="249"/>
    </i>
    <i r="1">
      <x v="251"/>
    </i>
    <i r="1">
      <x v="252"/>
    </i>
    <i r="1">
      <x v="258"/>
    </i>
    <i r="1">
      <x v="263"/>
    </i>
    <i r="1">
      <x v="268"/>
    </i>
    <i t="grand">
      <x/>
    </i>
  </rowItems>
  <colItems count="1">
    <i/>
  </colItems>
  <dataFields count="1">
    <dataField name="Sum of Total"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97DFE-14E3-422A-9711-752F8998799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12:N17" firstHeaderRow="1" firstDataRow="2"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measureFilter="1">
      <items count="27">
        <item x="22"/>
        <item x="18"/>
        <item x="24"/>
        <item x="1"/>
        <item x="9"/>
        <item x="16"/>
        <item x="2"/>
        <item x="6"/>
        <item x="11"/>
        <item x="25"/>
        <item x="23"/>
        <item x="5"/>
        <item x="10"/>
        <item x="15"/>
        <item x="19"/>
        <item x="8"/>
        <item x="3"/>
        <item x="7"/>
        <item x="14"/>
        <item x="13"/>
        <item x="4"/>
        <item x="0"/>
        <item x="12"/>
        <item x="21"/>
        <item x="20"/>
        <item x="17"/>
        <item t="default"/>
      </items>
    </pivotField>
    <pivotField showAll="0"/>
    <pivotField numFmtId="1" showAll="0"/>
    <pivotField numFmtId="164"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7"/>
  </rowFields>
  <rowItems count="4">
    <i>
      <x v="7"/>
    </i>
    <i>
      <x v="8"/>
    </i>
    <i>
      <x v="9"/>
    </i>
    <i t="grand">
      <x/>
    </i>
  </rowItems>
  <colFields count="1">
    <field x="1"/>
  </colFields>
  <colItems count="6">
    <i>
      <x v="1"/>
    </i>
    <i>
      <x v="3"/>
    </i>
    <i>
      <x v="6"/>
    </i>
    <i>
      <x v="7"/>
    </i>
    <i>
      <x v="11"/>
    </i>
    <i t="grand">
      <x/>
    </i>
  </colItems>
  <dataFields count="1">
    <dataField name="5 Besar Penjualan Historis" fld="5" baseField="0" baseItem="0"/>
  </dataFields>
  <chartFormats count="60">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6"/>
          </reference>
        </references>
      </pivotArea>
    </chartFormat>
    <chartFormat chart="3" format="7" series="1">
      <pivotArea type="data" outline="0" fieldPosition="0">
        <references count="2">
          <reference field="4294967294" count="1" selected="0">
            <x v="0"/>
          </reference>
          <reference field="1" count="1" selected="0">
            <x v="7"/>
          </reference>
        </references>
      </pivotArea>
    </chartFormat>
    <chartFormat chart="3" format="8" series="1">
      <pivotArea type="data" outline="0" fieldPosition="0">
        <references count="2">
          <reference field="4294967294" count="1" selected="0">
            <x v="0"/>
          </reference>
          <reference field="1" count="1" selected="0">
            <x v="8"/>
          </reference>
        </references>
      </pivotArea>
    </chartFormat>
    <chartFormat chart="3" format="9" series="1">
      <pivotArea type="data" outline="0" fieldPosition="0">
        <references count="2">
          <reference field="4294967294" count="1" selected="0">
            <x v="0"/>
          </reference>
          <reference field="1" count="1" selected="0">
            <x v="9"/>
          </reference>
        </references>
      </pivotArea>
    </chartFormat>
    <chartFormat chart="3" format="10" series="1">
      <pivotArea type="data" outline="0" fieldPosition="0">
        <references count="2">
          <reference field="4294967294" count="1" selected="0">
            <x v="0"/>
          </reference>
          <reference field="1" count="1" selected="0">
            <x v="10"/>
          </reference>
        </references>
      </pivotArea>
    </chartFormat>
    <chartFormat chart="3" format="11" series="1">
      <pivotArea type="data" outline="0" fieldPosition="0">
        <references count="2">
          <reference field="4294967294" count="1" selected="0">
            <x v="0"/>
          </reference>
          <reference field="1" count="1" selected="0">
            <x v="11"/>
          </reference>
        </references>
      </pivotArea>
    </chartFormat>
    <chartFormat chart="3" format="12" series="1">
      <pivotArea type="data" outline="0" fieldPosition="0">
        <references count="2">
          <reference field="4294967294" count="1" selected="0">
            <x v="0"/>
          </reference>
          <reference field="1" count="1" selected="0">
            <x v="12"/>
          </reference>
        </references>
      </pivotArea>
    </chartFormat>
    <chartFormat chart="3" format="13" series="1">
      <pivotArea type="data" outline="0" fieldPosition="0">
        <references count="2">
          <reference field="4294967294" count="1" selected="0">
            <x v="0"/>
          </reference>
          <reference field="1" count="1" selected="0">
            <x v="13"/>
          </reference>
        </references>
      </pivotArea>
    </chartFormat>
    <chartFormat chart="3" format="14" series="1">
      <pivotArea type="data" outline="0" fieldPosition="0">
        <references count="2">
          <reference field="4294967294" count="1" selected="0">
            <x v="0"/>
          </reference>
          <reference field="1" count="1" selected="0">
            <x v="14"/>
          </reference>
        </references>
      </pivotArea>
    </chartFormat>
    <chartFormat chart="3" format="15" series="1">
      <pivotArea type="data" outline="0" fieldPosition="0">
        <references count="2">
          <reference field="4294967294" count="1" selected="0">
            <x v="0"/>
          </reference>
          <reference field="1" count="1" selected="0">
            <x v="15"/>
          </reference>
        </references>
      </pivotArea>
    </chartFormat>
    <chartFormat chart="3" format="16" series="1">
      <pivotArea type="data" outline="0" fieldPosition="0">
        <references count="2">
          <reference field="4294967294" count="1" selected="0">
            <x v="0"/>
          </reference>
          <reference field="1" count="1" selected="0">
            <x v="16"/>
          </reference>
        </references>
      </pivotArea>
    </chartFormat>
    <chartFormat chart="3" format="17" series="1">
      <pivotArea type="data" outline="0" fieldPosition="0">
        <references count="2">
          <reference field="4294967294" count="1" selected="0">
            <x v="0"/>
          </reference>
          <reference field="1" count="1" selected="0">
            <x v="17"/>
          </reference>
        </references>
      </pivotArea>
    </chartFormat>
    <chartFormat chart="3" format="18" series="1">
      <pivotArea type="data" outline="0" fieldPosition="0">
        <references count="2">
          <reference field="4294967294" count="1" selected="0">
            <x v="0"/>
          </reference>
          <reference field="1" count="1" selected="0">
            <x v="18"/>
          </reference>
        </references>
      </pivotArea>
    </chartFormat>
    <chartFormat chart="3" format="19" series="1">
      <pivotArea type="data" outline="0" fieldPosition="0">
        <references count="2">
          <reference field="4294967294" count="1" selected="0">
            <x v="0"/>
          </reference>
          <reference field="1" count="1" selected="0">
            <x v="19"/>
          </reference>
        </references>
      </pivotArea>
    </chartFormat>
    <chartFormat chart="3" format="20" series="1">
      <pivotArea type="data" outline="0" fieldPosition="0">
        <references count="2">
          <reference field="4294967294" count="1" selected="0">
            <x v="0"/>
          </reference>
          <reference field="1" count="1" selected="0">
            <x v="20"/>
          </reference>
        </references>
      </pivotArea>
    </chartFormat>
    <chartFormat chart="3" format="21" series="1">
      <pivotArea type="data" outline="0" fieldPosition="0">
        <references count="2">
          <reference field="4294967294" count="1" selected="0">
            <x v="0"/>
          </reference>
          <reference field="1" count="1" selected="0">
            <x v="21"/>
          </reference>
        </references>
      </pivotArea>
    </chartFormat>
    <chartFormat chart="3" format="22" series="1">
      <pivotArea type="data" outline="0" fieldPosition="0">
        <references count="2">
          <reference field="4294967294" count="1" selected="0">
            <x v="0"/>
          </reference>
          <reference field="1" count="1" selected="0">
            <x v="22"/>
          </reference>
        </references>
      </pivotArea>
    </chartFormat>
    <chartFormat chart="3" format="23" series="1">
      <pivotArea type="data" outline="0" fieldPosition="0">
        <references count="2">
          <reference field="4294967294" count="1" selected="0">
            <x v="0"/>
          </reference>
          <reference field="1" count="1" selected="0">
            <x v="23"/>
          </reference>
        </references>
      </pivotArea>
    </chartFormat>
    <chartFormat chart="3" format="24" series="1">
      <pivotArea type="data" outline="0" fieldPosition="0">
        <references count="2">
          <reference field="4294967294" count="1" selected="0">
            <x v="0"/>
          </reference>
          <reference field="1" count="1" selected="0">
            <x v="24"/>
          </reference>
        </references>
      </pivotArea>
    </chartFormat>
    <chartFormat chart="3" format="25" series="1">
      <pivotArea type="data" outline="0" fieldPosition="0">
        <references count="2">
          <reference field="4294967294" count="1" selected="0">
            <x v="0"/>
          </reference>
          <reference field="1" count="1" selected="0">
            <x v="25"/>
          </reference>
        </references>
      </pivotArea>
    </chartFormat>
    <chartFormat chart="3" format="26">
      <pivotArea type="data" outline="0" fieldPosition="0">
        <references count="3">
          <reference field="4294967294" count="1" selected="0">
            <x v="0"/>
          </reference>
          <reference field="1" count="1" selected="0">
            <x v="1"/>
          </reference>
          <reference field="7" count="1" selected="0">
            <x v="8"/>
          </reference>
        </references>
      </pivotArea>
    </chartFormat>
    <chartFormat chart="3" format="27">
      <pivotArea type="data" outline="0" fieldPosition="0">
        <references count="3">
          <reference field="4294967294" count="1" selected="0">
            <x v="0"/>
          </reference>
          <reference field="1" count="1" selected="0">
            <x v="1"/>
          </reference>
          <reference field="7" count="1" selected="0">
            <x v="7"/>
          </reference>
        </references>
      </pivotArea>
    </chartFormat>
    <chartFormat chart="3" format="28">
      <pivotArea type="data" outline="0" fieldPosition="0">
        <references count="3">
          <reference field="4294967294" count="1" selected="0">
            <x v="0"/>
          </reference>
          <reference field="1" count="1" selected="0">
            <x v="3"/>
          </reference>
          <reference field="7" count="1" selected="0">
            <x v="8"/>
          </reference>
        </references>
      </pivotArea>
    </chartFormat>
    <chartFormat chart="3" format="29">
      <pivotArea type="data" outline="0" fieldPosition="0">
        <references count="3">
          <reference field="4294967294" count="1" selected="0">
            <x v="0"/>
          </reference>
          <reference field="1" count="1" selected="0">
            <x v="3"/>
          </reference>
          <reference field="7" count="1" selected="0">
            <x v="7"/>
          </reference>
        </references>
      </pivotArea>
    </chartFormat>
    <chartFormat chart="3" format="30">
      <pivotArea type="data" outline="0" fieldPosition="0">
        <references count="3">
          <reference field="4294967294" count="1" selected="0">
            <x v="0"/>
          </reference>
          <reference field="1" count="1" selected="0">
            <x v="6"/>
          </reference>
          <reference field="7" count="1" selected="0">
            <x v="8"/>
          </reference>
        </references>
      </pivotArea>
    </chartFormat>
    <chartFormat chart="3" format="31">
      <pivotArea type="data" outline="0" fieldPosition="0">
        <references count="3">
          <reference field="4294967294" count="1" selected="0">
            <x v="0"/>
          </reference>
          <reference field="1" count="1" selected="0">
            <x v="6"/>
          </reference>
          <reference field="7" count="1" selected="0">
            <x v="7"/>
          </reference>
        </references>
      </pivotArea>
    </chartFormat>
    <chartFormat chart="3" format="32">
      <pivotArea type="data" outline="0" fieldPosition="0">
        <references count="3">
          <reference field="4294967294" count="1" selected="0">
            <x v="0"/>
          </reference>
          <reference field="1" count="1" selected="0">
            <x v="7"/>
          </reference>
          <reference field="7" count="1" selected="0">
            <x v="8"/>
          </reference>
        </references>
      </pivotArea>
    </chartFormat>
    <chartFormat chart="3" format="33">
      <pivotArea type="data" outline="0" fieldPosition="0">
        <references count="3">
          <reference field="4294967294" count="1" selected="0">
            <x v="0"/>
          </reference>
          <reference field="1" count="1" selected="0">
            <x v="7"/>
          </reference>
          <reference field="7" count="1" selected="0">
            <x v="7"/>
          </reference>
        </references>
      </pivotArea>
    </chartFormat>
    <chartFormat chart="3" format="34">
      <pivotArea type="data" outline="0" fieldPosition="0">
        <references count="3">
          <reference field="4294967294" count="1" selected="0">
            <x v="0"/>
          </reference>
          <reference field="1" count="1" selected="0">
            <x v="11"/>
          </reference>
          <reference field="7" count="1" selected="0">
            <x v="8"/>
          </reference>
        </references>
      </pivotArea>
    </chartFormat>
    <chartFormat chart="3" format="35">
      <pivotArea type="data" outline="0" fieldPosition="0">
        <references count="3">
          <reference field="4294967294" count="1" selected="0">
            <x v="0"/>
          </reference>
          <reference field="1" count="1" selected="0">
            <x v="11"/>
          </reference>
          <reference field="7" count="1" selected="0">
            <x v="7"/>
          </reference>
        </references>
      </pivotArea>
    </chartFormat>
    <chartFormat chart="5" format="51" series="1">
      <pivotArea type="data" outline="0" fieldPosition="0">
        <references count="2">
          <reference field="4294967294" count="1" selected="0">
            <x v="0"/>
          </reference>
          <reference field="1" count="1" selected="0">
            <x v="1"/>
          </reference>
        </references>
      </pivotArea>
    </chartFormat>
    <chartFormat chart="5" format="52">
      <pivotArea type="data" outline="0" fieldPosition="0">
        <references count="3">
          <reference field="4294967294" count="1" selected="0">
            <x v="0"/>
          </reference>
          <reference field="1" count="1" selected="0">
            <x v="1"/>
          </reference>
          <reference field="7" count="1" selected="0">
            <x v="7"/>
          </reference>
        </references>
      </pivotArea>
    </chartFormat>
    <chartFormat chart="5" format="53">
      <pivotArea type="data" outline="0" fieldPosition="0">
        <references count="3">
          <reference field="4294967294" count="1" selected="0">
            <x v="0"/>
          </reference>
          <reference field="1" count="1" selected="0">
            <x v="1"/>
          </reference>
          <reference field="7" count="1" selected="0">
            <x v="8"/>
          </reference>
        </references>
      </pivotArea>
    </chartFormat>
    <chartFormat chart="5" format="54" series="1">
      <pivotArea type="data" outline="0" fieldPosition="0">
        <references count="2">
          <reference field="4294967294" count="1" selected="0">
            <x v="0"/>
          </reference>
          <reference field="1" count="1" selected="0">
            <x v="3"/>
          </reference>
        </references>
      </pivotArea>
    </chartFormat>
    <chartFormat chart="5" format="55">
      <pivotArea type="data" outline="0" fieldPosition="0">
        <references count="3">
          <reference field="4294967294" count="1" selected="0">
            <x v="0"/>
          </reference>
          <reference field="1" count="1" selected="0">
            <x v="3"/>
          </reference>
          <reference field="7" count="1" selected="0">
            <x v="7"/>
          </reference>
        </references>
      </pivotArea>
    </chartFormat>
    <chartFormat chart="5" format="56">
      <pivotArea type="data" outline="0" fieldPosition="0">
        <references count="3">
          <reference field="4294967294" count="1" selected="0">
            <x v="0"/>
          </reference>
          <reference field="1" count="1" selected="0">
            <x v="3"/>
          </reference>
          <reference field="7" count="1" selected="0">
            <x v="8"/>
          </reference>
        </references>
      </pivotArea>
    </chartFormat>
    <chartFormat chart="5" format="57" series="1">
      <pivotArea type="data" outline="0" fieldPosition="0">
        <references count="2">
          <reference field="4294967294" count="1" selected="0">
            <x v="0"/>
          </reference>
          <reference field="1" count="1" selected="0">
            <x v="6"/>
          </reference>
        </references>
      </pivotArea>
    </chartFormat>
    <chartFormat chart="5" format="58">
      <pivotArea type="data" outline="0" fieldPosition="0">
        <references count="3">
          <reference field="4294967294" count="1" selected="0">
            <x v="0"/>
          </reference>
          <reference field="1" count="1" selected="0">
            <x v="6"/>
          </reference>
          <reference field="7" count="1" selected="0">
            <x v="7"/>
          </reference>
        </references>
      </pivotArea>
    </chartFormat>
    <chartFormat chart="5" format="59">
      <pivotArea type="data" outline="0" fieldPosition="0">
        <references count="3">
          <reference field="4294967294" count="1" selected="0">
            <x v="0"/>
          </reference>
          <reference field="1" count="1" selected="0">
            <x v="6"/>
          </reference>
          <reference field="7" count="1" selected="0">
            <x v="8"/>
          </reference>
        </references>
      </pivotArea>
    </chartFormat>
    <chartFormat chart="5" format="60" series="1">
      <pivotArea type="data" outline="0" fieldPosition="0">
        <references count="2">
          <reference field="4294967294" count="1" selected="0">
            <x v="0"/>
          </reference>
          <reference field="1" count="1" selected="0">
            <x v="7"/>
          </reference>
        </references>
      </pivotArea>
    </chartFormat>
    <chartFormat chart="5" format="61">
      <pivotArea type="data" outline="0" fieldPosition="0">
        <references count="3">
          <reference field="4294967294" count="1" selected="0">
            <x v="0"/>
          </reference>
          <reference field="1" count="1" selected="0">
            <x v="7"/>
          </reference>
          <reference field="7" count="1" selected="0">
            <x v="7"/>
          </reference>
        </references>
      </pivotArea>
    </chartFormat>
    <chartFormat chart="5" format="62">
      <pivotArea type="data" outline="0" fieldPosition="0">
        <references count="3">
          <reference field="4294967294" count="1" selected="0">
            <x v="0"/>
          </reference>
          <reference field="1" count="1" selected="0">
            <x v="7"/>
          </reference>
          <reference field="7" count="1" selected="0">
            <x v="8"/>
          </reference>
        </references>
      </pivotArea>
    </chartFormat>
    <chartFormat chart="5" format="63" series="1">
      <pivotArea type="data" outline="0" fieldPosition="0">
        <references count="2">
          <reference field="4294967294" count="1" selected="0">
            <x v="0"/>
          </reference>
          <reference field="1" count="1" selected="0">
            <x v="11"/>
          </reference>
        </references>
      </pivotArea>
    </chartFormat>
    <chartFormat chart="5" format="64">
      <pivotArea type="data" outline="0" fieldPosition="0">
        <references count="3">
          <reference field="4294967294" count="1" selected="0">
            <x v="0"/>
          </reference>
          <reference field="1" count="1" selected="0">
            <x v="11"/>
          </reference>
          <reference field="7" count="1" selected="0">
            <x v="7"/>
          </reference>
        </references>
      </pivotArea>
    </chartFormat>
    <chartFormat chart="5" format="65">
      <pivotArea type="data" outline="0" fieldPosition="0">
        <references count="3">
          <reference field="4294967294" count="1" selected="0">
            <x v="0"/>
          </reference>
          <reference field="1" count="1" selected="0">
            <x v="11"/>
          </reference>
          <reference field="7" count="1" selected="0">
            <x v="8"/>
          </reference>
        </references>
      </pivotArea>
    </chartFormat>
    <chartFormat chart="5" format="66" series="1">
      <pivotArea type="data" outline="0" fieldPosition="0">
        <references count="2">
          <reference field="4294967294" count="1" selected="0">
            <x v="0"/>
          </reference>
          <reference field="1" count="1" selected="0">
            <x v="22"/>
          </reference>
        </references>
      </pivotArea>
    </chartFormat>
    <chartFormat chart="5" format="67" series="1">
      <pivotArea type="data" outline="0" fieldPosition="0">
        <references count="2">
          <reference field="4294967294" count="1" selected="0">
            <x v="0"/>
          </reference>
          <reference field="1" count="1" selected="0">
            <x v="21"/>
          </reference>
        </references>
      </pivotArea>
    </chartFormat>
    <chartFormat chart="5" format="68" series="1">
      <pivotArea type="data" outline="0" fieldPosition="0">
        <references count="2">
          <reference field="4294967294" count="1" selected="0">
            <x v="0"/>
          </reference>
          <reference field="1" count="1" selected="0">
            <x v="19"/>
          </reference>
        </references>
      </pivotArea>
    </chartFormat>
    <chartFormat chart="5" format="69">
      <pivotArea type="data" outline="0" fieldPosition="0">
        <references count="3">
          <reference field="4294967294" count="1" selected="0">
            <x v="0"/>
          </reference>
          <reference field="1" count="1" selected="0">
            <x v="11"/>
          </reference>
          <reference field="7" count="1" selected="0">
            <x v="9"/>
          </reference>
        </references>
      </pivotArea>
    </chartFormat>
    <chartFormat chart="5" format="70">
      <pivotArea type="data" outline="0" fieldPosition="0">
        <references count="3">
          <reference field="4294967294" count="1" selected="0">
            <x v="0"/>
          </reference>
          <reference field="1" count="1" selected="0">
            <x v="7"/>
          </reference>
          <reference field="7" count="1" selected="0">
            <x v="9"/>
          </reference>
        </references>
      </pivotArea>
    </chartFormat>
    <chartFormat chart="5" format="71">
      <pivotArea type="data" outline="0" fieldPosition="0">
        <references count="3">
          <reference field="4294967294" count="1" selected="0">
            <x v="0"/>
          </reference>
          <reference field="1" count="1" selected="0">
            <x v="6"/>
          </reference>
          <reference field="7" count="1" selected="0">
            <x v="9"/>
          </reference>
        </references>
      </pivotArea>
    </chartFormat>
    <chartFormat chart="5" format="72">
      <pivotArea type="data" outline="0" fieldPosition="0">
        <references count="3">
          <reference field="4294967294" count="1" selected="0">
            <x v="0"/>
          </reference>
          <reference field="1" count="1" selected="0">
            <x v="3"/>
          </reference>
          <reference field="7" count="1" selected="0">
            <x v="9"/>
          </reference>
        </references>
      </pivotArea>
    </chartFormat>
    <chartFormat chart="5" format="73">
      <pivotArea type="data" outline="0" fieldPosition="0">
        <references count="3">
          <reference field="4294967294" count="1" selected="0">
            <x v="0"/>
          </reference>
          <reference field="1" count="1" selected="0">
            <x v="1"/>
          </reference>
          <reference field="7" count="1" selected="0">
            <x v="9"/>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5C2E1-C3EA-4297-84BB-15791843806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3:I8"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 showAll="0"/>
    <pivotField numFmtId="164" showAll="0"/>
    <pivotField numFmtId="164" showAll="0"/>
    <pivotField name="Persebaran Status Order" axis="axisRow" dataField="1" showAll="0">
      <items count="5">
        <item x="0"/>
        <item x="3"/>
        <item x="2"/>
        <item x="1"/>
        <item t="default"/>
      </items>
    </pivotField>
    <pivotField showAll="0">
      <items count="15">
        <item sd="0" x="0"/>
        <item sd="0" x="1"/>
        <item sd="0" x="2"/>
        <item sd="0" x="3"/>
        <item sd="0" x="4"/>
        <item sd="0" x="5"/>
        <item sd="0" x="6"/>
        <item x="7"/>
        <item x="8"/>
        <item x="9"/>
        <item sd="0" x="10"/>
        <item sd="0" x="11"/>
        <item sd="0" x="12"/>
        <item sd="0" x="13"/>
        <item t="default"/>
      </items>
    </pivotField>
  </pivotFields>
  <rowFields count="1">
    <field x="6"/>
  </rowFields>
  <rowItems count="5">
    <i>
      <x/>
    </i>
    <i>
      <x v="1"/>
    </i>
    <i>
      <x v="2"/>
    </i>
    <i>
      <x v="3"/>
    </i>
    <i t="grand">
      <x/>
    </i>
  </rowItems>
  <colItems count="1">
    <i/>
  </colItems>
  <dataFields count="1">
    <dataField name="Count of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19B54-8481-436E-A4F6-504E98E00B3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3:F9"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5 Besar Penjualan Terbanyak" axis="axisRow" showAll="0" measureFilter="1" sortType="ascending">
      <items count="27">
        <item x="17"/>
        <item x="20"/>
        <item x="21"/>
        <item x="12"/>
        <item x="0"/>
        <item x="4"/>
        <item x="13"/>
        <item x="14"/>
        <item x="7"/>
        <item x="3"/>
        <item x="8"/>
        <item x="19"/>
        <item x="15"/>
        <item x="10"/>
        <item x="5"/>
        <item x="23"/>
        <item x="25"/>
        <item x="11"/>
        <item x="6"/>
        <item x="2"/>
        <item x="16"/>
        <item x="9"/>
        <item x="1"/>
        <item x="24"/>
        <item x="18"/>
        <item x="22"/>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dataField="1" numFmtId="164" showAll="0"/>
    <pivotField showAll="0"/>
    <pivotField showAll="0">
      <items count="15">
        <item sd="0" x="0"/>
        <item sd="0" x="1"/>
        <item sd="0" x="2"/>
        <item sd="0" x="3"/>
        <item sd="0" x="4"/>
        <item sd="0" x="5"/>
        <item sd="0" x="6"/>
        <item x="7"/>
        <item x="8"/>
        <item x="9"/>
        <item sd="0" x="10"/>
        <item sd="0" x="11"/>
        <item sd="0" x="12"/>
        <item sd="0" x="13"/>
        <item t="default"/>
      </items>
    </pivotField>
  </pivotFields>
  <rowFields count="1">
    <field x="1"/>
  </rowFields>
  <rowItems count="6">
    <i>
      <x v="14"/>
    </i>
    <i>
      <x v="24"/>
    </i>
    <i>
      <x v="18"/>
    </i>
    <i>
      <x v="19"/>
    </i>
    <i>
      <x v="22"/>
    </i>
    <i t="grand">
      <x/>
    </i>
  </rowItems>
  <colItems count="1">
    <i/>
  </colItems>
  <dataFields count="1">
    <dataField name="Sum of Total" fld="5" showDataAs="percentOfTotal" baseField="1" baseItem="0" numFmtId="1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16843CE0-97B3-4823-AF4F-5E2155356616}" sourceName="Months">
  <pivotTables>
    <pivotTable tabId="3" name="PivotTable1"/>
  </pivotTables>
  <data>
    <tabular pivotCacheId="304519413">
      <items count="14">
        <i x="7" s="1"/>
        <i x="8" s="1"/>
        <i x="9" s="1"/>
        <i x="1" s="1" nd="1"/>
        <i x="2" s="1" nd="1"/>
        <i x="3" s="1" nd="1"/>
        <i x="4" s="1" nd="1"/>
        <i x="5" s="1" nd="1"/>
        <i x="6"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roduk" xr10:uid="{8B58AFBC-B6EA-4062-A273-031660FF81B9}" sourceName="Jenis Produk">
  <pivotTables>
    <pivotTable tabId="3" name="PivotTable7"/>
  </pivotTables>
  <data>
    <tabular pivotCacheId="304519413">
      <items count="26">
        <i x="22"/>
        <i x="18"/>
        <i x="24" s="1"/>
        <i x="1"/>
        <i x="9" s="1"/>
        <i x="16"/>
        <i x="2"/>
        <i x="6" s="1"/>
        <i x="11"/>
        <i x="25"/>
        <i x="23"/>
        <i x="5"/>
        <i x="10"/>
        <i x="15"/>
        <i x="19"/>
        <i x="8"/>
        <i x="3"/>
        <i x="7"/>
        <i x="14"/>
        <i x="13"/>
        <i x="4"/>
        <i x="0"/>
        <i x="12"/>
        <i x="21"/>
        <i x="20"/>
        <i x="1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692979B8-DF54-430C-BA39-644FBC37BA71}" cache="Slicer_Months" caption="Months" style="SlicerStyleLight4" rowHeight="241300"/>
  <slicer name="Jenis Produk" xr10:uid="{8353A11C-EDED-4C27-883D-5A94818F38AF}" cache="Slicer_Jenis_Produk" caption="Jenis Produk" columnCount="4" style="SlicerStyleLight4"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36C8AA10-6CF7-447D-8A66-8C5391AE8EA5}" sourceName="Tanggal">
  <pivotTables>
    <pivotTable tabId="3" name="PivotTable3"/>
  </pivotTables>
  <state minimalRefreshVersion="6" lastRefreshVersion="6" pivotCacheId="304519413" filterType="dateBetween">
    <selection startDate="2022-09-01T00:00:00" endDate="2022-09-30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C6C670F6-05A9-4114-B41E-C5D0F46FA8A9}" cache="NativeTimeline_Tanggal" caption="Tanggal" showHeader="0" showSelectionLabel="0" showTimeLevel="0" level="2" selectionLevel="2" scrollPosition="2022-06-24T00:00:00" style="TimeSlicerStyleDark2"/>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AF44-F7CA-4ED6-8A62-DE068FC169E0}">
  <dimension ref="A1:F1000"/>
  <sheetViews>
    <sheetView tabSelected="1" workbookViewId="0"/>
  </sheetViews>
  <sheetFormatPr defaultColWidth="14.453125" defaultRowHeight="15" customHeight="1" x14ac:dyDescent="0.35"/>
  <cols>
    <col min="1" max="1" width="13.54296875" style="42" customWidth="1"/>
    <col min="2" max="2" width="19.81640625" style="42" customWidth="1"/>
    <col min="3" max="3" width="17.81640625" style="42" customWidth="1"/>
    <col min="4" max="4" width="12.7265625" style="42" customWidth="1"/>
    <col min="5" max="5" width="12.08984375" style="42" customWidth="1"/>
    <col min="6" max="6" width="16.81640625" style="42" customWidth="1"/>
    <col min="7" max="26" width="8.7265625" style="42" customWidth="1"/>
    <col min="27" max="16384" width="14.453125" style="42"/>
  </cols>
  <sheetData>
    <row r="1" spans="1:6" ht="14.25" customHeight="1" x14ac:dyDescent="0.35"/>
    <row r="2" spans="1:6" ht="14.25" customHeight="1" x14ac:dyDescent="0.35">
      <c r="A2" s="1" t="s">
        <v>0</v>
      </c>
      <c r="B2" s="1" t="s">
        <v>1</v>
      </c>
      <c r="C2" s="1" t="s">
        <v>2</v>
      </c>
      <c r="D2" s="1" t="s">
        <v>3</v>
      </c>
      <c r="E2" s="1" t="s">
        <v>4</v>
      </c>
      <c r="F2" s="1" t="s">
        <v>5</v>
      </c>
    </row>
    <row r="3" spans="1:6" ht="14.25" customHeight="1" x14ac:dyDescent="0.35">
      <c r="A3" s="43">
        <v>44778</v>
      </c>
      <c r="B3" s="44" t="s">
        <v>6</v>
      </c>
      <c r="C3" s="44">
        <v>1000</v>
      </c>
      <c r="D3" s="45">
        <v>1800</v>
      </c>
      <c r="E3" s="44">
        <v>1800000</v>
      </c>
      <c r="F3" s="2"/>
    </row>
    <row r="4" spans="1:6" ht="14.25" customHeight="1" x14ac:dyDescent="0.35">
      <c r="A4" s="46">
        <v>44778</v>
      </c>
      <c r="B4" s="44" t="s">
        <v>7</v>
      </c>
      <c r="C4" s="44">
        <v>1000</v>
      </c>
      <c r="D4" s="47">
        <v>1900</v>
      </c>
      <c r="E4" s="44">
        <v>1900000</v>
      </c>
      <c r="F4" s="2"/>
    </row>
    <row r="5" spans="1:6" ht="14.25" customHeight="1" x14ac:dyDescent="0.35">
      <c r="A5" s="43">
        <v>44778</v>
      </c>
      <c r="B5" s="44" t="s">
        <v>8</v>
      </c>
      <c r="C5" s="44">
        <v>5000</v>
      </c>
      <c r="D5" s="48">
        <v>750</v>
      </c>
      <c r="E5" s="44"/>
      <c r="F5" s="2"/>
    </row>
    <row r="6" spans="1:6" ht="14.25" customHeight="1" x14ac:dyDescent="0.35">
      <c r="A6" s="43">
        <v>44778</v>
      </c>
      <c r="B6" s="44" t="s">
        <v>8</v>
      </c>
      <c r="C6" s="44">
        <v>1000</v>
      </c>
      <c r="D6" s="48">
        <v>1200</v>
      </c>
      <c r="E6" s="44">
        <v>1200000</v>
      </c>
      <c r="F6" s="2"/>
    </row>
    <row r="7" spans="1:6" ht="14.25" customHeight="1" x14ac:dyDescent="0.35">
      <c r="A7" s="46">
        <v>44750</v>
      </c>
      <c r="B7" s="44" t="s">
        <v>9</v>
      </c>
      <c r="C7" s="44">
        <v>1000</v>
      </c>
      <c r="D7" s="45">
        <v>1550</v>
      </c>
      <c r="E7" s="44">
        <v>1550000</v>
      </c>
      <c r="F7" s="2"/>
    </row>
    <row r="8" spans="1:6" ht="14.25" customHeight="1" x14ac:dyDescent="0.35">
      <c r="A8" s="43">
        <v>44781</v>
      </c>
      <c r="B8" s="44" t="s">
        <v>9</v>
      </c>
      <c r="C8" s="44">
        <v>500</v>
      </c>
      <c r="D8" s="48"/>
      <c r="E8" s="44">
        <v>950000</v>
      </c>
      <c r="F8" s="2"/>
    </row>
    <row r="9" spans="1:6" ht="14.25" customHeight="1" x14ac:dyDescent="0.35">
      <c r="A9" s="43">
        <v>44781</v>
      </c>
      <c r="B9" s="44" t="s">
        <v>10</v>
      </c>
      <c r="C9" s="44">
        <v>1000</v>
      </c>
      <c r="D9" s="45">
        <v>1700</v>
      </c>
      <c r="E9" s="44">
        <v>1700000</v>
      </c>
      <c r="F9" s="2"/>
    </row>
    <row r="10" spans="1:6" ht="14.25" customHeight="1" x14ac:dyDescent="0.35">
      <c r="A10" s="43">
        <v>44781</v>
      </c>
      <c r="B10" s="44" t="s">
        <v>10</v>
      </c>
      <c r="C10" s="44">
        <v>1000</v>
      </c>
      <c r="D10" s="45">
        <v>1700</v>
      </c>
      <c r="E10" s="44">
        <v>1700000</v>
      </c>
      <c r="F10" s="2"/>
    </row>
    <row r="11" spans="1:6" ht="14.25" customHeight="1" x14ac:dyDescent="0.35">
      <c r="A11" s="43">
        <v>44782</v>
      </c>
      <c r="B11" s="44" t="s">
        <v>11</v>
      </c>
      <c r="C11" s="44">
        <v>1000</v>
      </c>
      <c r="D11" s="48">
        <v>1000</v>
      </c>
      <c r="E11" s="44">
        <v>1000000</v>
      </c>
      <c r="F11" s="2"/>
    </row>
    <row r="12" spans="1:6" ht="14.25" customHeight="1" x14ac:dyDescent="0.35">
      <c r="A12" s="43">
        <v>44782</v>
      </c>
      <c r="B12" s="44" t="s">
        <v>12</v>
      </c>
      <c r="C12" s="44">
        <v>500</v>
      </c>
      <c r="D12" s="44">
        <v>1800</v>
      </c>
      <c r="E12" s="44">
        <v>900000</v>
      </c>
      <c r="F12" s="2"/>
    </row>
    <row r="13" spans="1:6" ht="14.25" customHeight="1" x14ac:dyDescent="0.35">
      <c r="A13" s="43">
        <v>44783</v>
      </c>
      <c r="B13" s="44" t="s">
        <v>94</v>
      </c>
      <c r="C13" s="44">
        <v>500</v>
      </c>
      <c r="D13" s="44">
        <v>1600</v>
      </c>
      <c r="E13" s="44">
        <v>800000</v>
      </c>
      <c r="F13" s="2"/>
    </row>
    <row r="14" spans="1:6" ht="14.25" customHeight="1" x14ac:dyDescent="0.35">
      <c r="A14" s="43">
        <v>44783</v>
      </c>
      <c r="B14" s="44" t="s">
        <v>10</v>
      </c>
      <c r="C14" s="44">
        <v>1000</v>
      </c>
      <c r="D14" s="44">
        <v>2000</v>
      </c>
      <c r="E14" s="44">
        <v>2000000</v>
      </c>
      <c r="F14" s="2"/>
    </row>
    <row r="15" spans="1:6" ht="14.25" customHeight="1" x14ac:dyDescent="0.35">
      <c r="A15" s="43">
        <v>44784</v>
      </c>
      <c r="B15" s="44" t="s">
        <v>8</v>
      </c>
      <c r="C15" s="44">
        <v>1000</v>
      </c>
      <c r="D15" s="44">
        <v>850</v>
      </c>
      <c r="E15" s="44">
        <v>850000</v>
      </c>
      <c r="F15" s="2"/>
    </row>
    <row r="16" spans="1:6" ht="14.25" customHeight="1" x14ac:dyDescent="0.35">
      <c r="A16" s="43">
        <v>44784</v>
      </c>
      <c r="B16" s="44" t="s">
        <v>95</v>
      </c>
      <c r="C16" s="44">
        <v>500</v>
      </c>
      <c r="D16" s="44">
        <v>1800</v>
      </c>
      <c r="E16" s="44">
        <v>900000</v>
      </c>
      <c r="F16" s="2"/>
    </row>
    <row r="17" spans="1:6" ht="14.25" customHeight="1" x14ac:dyDescent="0.35">
      <c r="A17" s="43">
        <v>44784</v>
      </c>
      <c r="B17" s="44" t="s">
        <v>12</v>
      </c>
      <c r="C17" s="44">
        <v>500</v>
      </c>
      <c r="D17" s="44">
        <v>1800</v>
      </c>
      <c r="E17" s="44">
        <v>900000</v>
      </c>
      <c r="F17" s="2"/>
    </row>
    <row r="18" spans="1:6" ht="14.25" customHeight="1" x14ac:dyDescent="0.35">
      <c r="A18" s="43">
        <v>44784</v>
      </c>
      <c r="B18" s="44" t="s">
        <v>9</v>
      </c>
      <c r="C18" s="44">
        <v>2000</v>
      </c>
      <c r="D18" s="44">
        <v>1300</v>
      </c>
      <c r="E18" s="44">
        <v>2600000</v>
      </c>
      <c r="F18" s="2"/>
    </row>
    <row r="19" spans="1:6" ht="14.25" customHeight="1" x14ac:dyDescent="0.35">
      <c r="A19" s="43">
        <v>44785</v>
      </c>
      <c r="B19" s="44" t="s">
        <v>13</v>
      </c>
      <c r="C19" s="44">
        <v>1000</v>
      </c>
      <c r="D19" s="44">
        <v>1200</v>
      </c>
      <c r="E19" s="44">
        <v>1200000</v>
      </c>
      <c r="F19" s="2"/>
    </row>
    <row r="20" spans="1:6" ht="14.25" customHeight="1" x14ac:dyDescent="0.35">
      <c r="A20" s="43">
        <v>44785</v>
      </c>
      <c r="B20" s="44" t="s">
        <v>96</v>
      </c>
      <c r="C20" s="44">
        <v>1000</v>
      </c>
      <c r="D20" s="44">
        <v>2000</v>
      </c>
      <c r="E20" s="44">
        <v>2000000</v>
      </c>
      <c r="F20" s="2"/>
    </row>
    <row r="21" spans="1:6" ht="14.25" customHeight="1" x14ac:dyDescent="0.35">
      <c r="A21" s="43">
        <v>44785</v>
      </c>
      <c r="B21" s="44" t="s">
        <v>12</v>
      </c>
      <c r="C21" s="44">
        <v>1000</v>
      </c>
      <c r="D21" s="44">
        <v>2200</v>
      </c>
      <c r="E21" s="44">
        <v>2200000</v>
      </c>
      <c r="F21" s="2"/>
    </row>
    <row r="22" spans="1:6" ht="14.25" customHeight="1" x14ac:dyDescent="0.35">
      <c r="A22" s="43">
        <v>44785</v>
      </c>
      <c r="B22" s="44" t="s">
        <v>8</v>
      </c>
      <c r="C22" s="44">
        <v>3000</v>
      </c>
      <c r="D22" s="49">
        <v>800</v>
      </c>
      <c r="E22" s="44">
        <v>2400000</v>
      </c>
      <c r="F22" s="2"/>
    </row>
    <row r="23" spans="1:6" ht="14.25" customHeight="1" x14ac:dyDescent="0.35">
      <c r="A23" s="50">
        <v>44785</v>
      </c>
      <c r="B23" s="44" t="s">
        <v>8</v>
      </c>
      <c r="C23" s="44">
        <v>500</v>
      </c>
      <c r="D23" s="51">
        <v>600</v>
      </c>
      <c r="E23" s="44">
        <v>300000</v>
      </c>
      <c r="F23" s="2"/>
    </row>
    <row r="24" spans="1:6" ht="14.25" customHeight="1" x14ac:dyDescent="0.35">
      <c r="A24" s="43">
        <v>44786</v>
      </c>
      <c r="B24" s="44" t="s">
        <v>14</v>
      </c>
      <c r="C24" s="44">
        <v>1500</v>
      </c>
      <c r="D24" s="49">
        <v>300</v>
      </c>
      <c r="E24" s="44">
        <v>450000</v>
      </c>
      <c r="F24" s="2"/>
    </row>
    <row r="25" spans="1:6" ht="14.25" customHeight="1" x14ac:dyDescent="0.35">
      <c r="A25" s="43">
        <v>44788</v>
      </c>
      <c r="B25" s="44" t="s">
        <v>15</v>
      </c>
      <c r="C25" s="44">
        <v>1500</v>
      </c>
      <c r="D25" s="44">
        <v>1100</v>
      </c>
      <c r="E25" s="44">
        <v>1650000</v>
      </c>
      <c r="F25" s="2"/>
    </row>
    <row r="26" spans="1:6" ht="14.25" customHeight="1" x14ac:dyDescent="0.35">
      <c r="A26" s="43">
        <v>44788</v>
      </c>
      <c r="B26" s="44" t="s">
        <v>97</v>
      </c>
      <c r="C26" s="44">
        <v>2000</v>
      </c>
      <c r="D26" s="44">
        <v>2300</v>
      </c>
      <c r="E26" s="44">
        <v>4600000</v>
      </c>
      <c r="F26" s="2"/>
    </row>
    <row r="27" spans="1:6" ht="14.25" customHeight="1" x14ac:dyDescent="0.35">
      <c r="A27" s="52">
        <v>44788</v>
      </c>
      <c r="B27" s="44" t="s">
        <v>16</v>
      </c>
      <c r="C27" s="44">
        <v>1000</v>
      </c>
      <c r="D27" s="44">
        <v>2200</v>
      </c>
      <c r="E27" s="44">
        <v>2200000</v>
      </c>
      <c r="F27" s="2"/>
    </row>
    <row r="28" spans="1:6" ht="14.25" customHeight="1" x14ac:dyDescent="0.35">
      <c r="A28" s="52">
        <v>44788</v>
      </c>
      <c r="B28" s="44" t="s">
        <v>98</v>
      </c>
      <c r="C28" s="44">
        <v>3000</v>
      </c>
      <c r="D28" s="44">
        <v>950</v>
      </c>
      <c r="E28" s="44">
        <v>2850000</v>
      </c>
      <c r="F28" s="2"/>
    </row>
    <row r="29" spans="1:6" ht="14.25" customHeight="1" x14ac:dyDescent="0.35">
      <c r="A29" s="43">
        <v>44788</v>
      </c>
      <c r="B29" s="44" t="s">
        <v>16</v>
      </c>
      <c r="C29" s="44">
        <v>3000</v>
      </c>
      <c r="D29" s="44">
        <v>875</v>
      </c>
      <c r="E29" s="44">
        <v>2625000</v>
      </c>
      <c r="F29" s="2"/>
    </row>
    <row r="30" spans="1:6" ht="14.25" customHeight="1" x14ac:dyDescent="0.35">
      <c r="A30" s="43">
        <v>44788</v>
      </c>
      <c r="B30" s="44" t="s">
        <v>9</v>
      </c>
      <c r="C30" s="44">
        <v>2000</v>
      </c>
      <c r="D30" s="44">
        <v>1600</v>
      </c>
      <c r="E30" s="44">
        <v>3200000</v>
      </c>
      <c r="F30" s="2"/>
    </row>
    <row r="31" spans="1:6" ht="14.25" customHeight="1" x14ac:dyDescent="0.35">
      <c r="A31" s="43">
        <v>44788</v>
      </c>
      <c r="B31" s="44" t="s">
        <v>99</v>
      </c>
      <c r="C31" s="44">
        <v>1000</v>
      </c>
      <c r="D31" s="44">
        <v>2200</v>
      </c>
      <c r="E31" s="44">
        <v>2200000</v>
      </c>
      <c r="F31" s="2"/>
    </row>
    <row r="32" spans="1:6" ht="14.25" customHeight="1" x14ac:dyDescent="0.35">
      <c r="A32" s="43">
        <v>44788</v>
      </c>
      <c r="B32" s="44" t="s">
        <v>17</v>
      </c>
      <c r="C32" s="44">
        <v>1000</v>
      </c>
      <c r="D32" s="44">
        <v>1900</v>
      </c>
      <c r="E32" s="44">
        <v>1900000</v>
      </c>
      <c r="F32" s="2"/>
    </row>
    <row r="33" spans="1:6" ht="14.25" customHeight="1" x14ac:dyDescent="0.35">
      <c r="A33" s="43">
        <v>44789</v>
      </c>
      <c r="B33" s="44" t="s">
        <v>9</v>
      </c>
      <c r="C33" s="44">
        <v>2000</v>
      </c>
      <c r="D33" s="44">
        <v>1750</v>
      </c>
      <c r="E33" s="44">
        <v>3500000</v>
      </c>
      <c r="F33" s="2"/>
    </row>
    <row r="34" spans="1:6" ht="14.25" customHeight="1" x14ac:dyDescent="0.35">
      <c r="A34" s="43">
        <v>44789</v>
      </c>
      <c r="B34" s="44" t="s">
        <v>12</v>
      </c>
      <c r="C34" s="44">
        <v>2000</v>
      </c>
      <c r="D34" s="44">
        <v>1975</v>
      </c>
      <c r="E34" s="44">
        <v>3950000</v>
      </c>
      <c r="F34" s="2"/>
    </row>
    <row r="35" spans="1:6" ht="14.25" customHeight="1" x14ac:dyDescent="0.35">
      <c r="A35" s="43">
        <v>44789</v>
      </c>
      <c r="B35" s="44" t="s">
        <v>100</v>
      </c>
      <c r="C35" s="44">
        <v>2000</v>
      </c>
      <c r="D35" s="44">
        <v>500</v>
      </c>
      <c r="E35" s="44">
        <v>1000000</v>
      </c>
      <c r="F35" s="2"/>
    </row>
    <row r="36" spans="1:6" ht="14.25" customHeight="1" x14ac:dyDescent="0.35">
      <c r="A36" s="50">
        <v>44791</v>
      </c>
      <c r="B36" s="44" t="s">
        <v>16</v>
      </c>
      <c r="C36" s="44">
        <v>1000</v>
      </c>
      <c r="D36" s="44">
        <v>975</v>
      </c>
      <c r="E36" s="44">
        <v>975000</v>
      </c>
      <c r="F36" s="2"/>
    </row>
    <row r="37" spans="1:6" ht="14.25" customHeight="1" x14ac:dyDescent="0.35">
      <c r="A37" s="43">
        <v>44791</v>
      </c>
      <c r="B37" s="44" t="s">
        <v>17</v>
      </c>
      <c r="C37" s="44">
        <v>500</v>
      </c>
      <c r="D37" s="44">
        <v>2200</v>
      </c>
      <c r="E37" s="44">
        <v>1100000</v>
      </c>
      <c r="F37" s="2"/>
    </row>
    <row r="38" spans="1:6" ht="14.25" customHeight="1" x14ac:dyDescent="0.35">
      <c r="A38" s="43">
        <v>44791</v>
      </c>
      <c r="B38" s="44" t="s">
        <v>18</v>
      </c>
      <c r="C38" s="44">
        <v>500</v>
      </c>
      <c r="D38" s="44">
        <v>900</v>
      </c>
      <c r="E38" s="44">
        <v>450000</v>
      </c>
      <c r="F38" s="2"/>
    </row>
    <row r="39" spans="1:6" ht="14.25" customHeight="1" x14ac:dyDescent="0.35">
      <c r="A39" s="43">
        <v>44791</v>
      </c>
      <c r="B39" s="44" t="s">
        <v>7</v>
      </c>
      <c r="C39" s="44">
        <v>1000</v>
      </c>
      <c r="D39" s="44">
        <v>1800</v>
      </c>
      <c r="E39" s="44">
        <v>1800000</v>
      </c>
      <c r="F39" s="2"/>
    </row>
    <row r="40" spans="1:6" ht="14.25" customHeight="1" x14ac:dyDescent="0.35">
      <c r="A40" s="43">
        <v>44795</v>
      </c>
      <c r="B40" s="44" t="s">
        <v>9</v>
      </c>
      <c r="C40" s="44">
        <v>2000</v>
      </c>
      <c r="D40" s="44">
        <v>1710</v>
      </c>
      <c r="E40" s="44">
        <v>3420000</v>
      </c>
      <c r="F40" s="2"/>
    </row>
    <row r="41" spans="1:6" ht="14.25" customHeight="1" x14ac:dyDescent="0.35">
      <c r="A41" s="43">
        <v>44795</v>
      </c>
      <c r="B41" s="44" t="s">
        <v>16</v>
      </c>
      <c r="C41" s="44">
        <v>3500</v>
      </c>
      <c r="D41" s="44">
        <v>1300</v>
      </c>
      <c r="E41" s="44">
        <v>4550000</v>
      </c>
      <c r="F41" s="2"/>
    </row>
    <row r="42" spans="1:6" ht="14.25" customHeight="1" x14ac:dyDescent="0.35">
      <c r="A42" s="43">
        <v>44795</v>
      </c>
      <c r="B42" s="44" t="s">
        <v>9</v>
      </c>
      <c r="C42" s="44">
        <v>1000</v>
      </c>
      <c r="D42" s="44">
        <v>1900</v>
      </c>
      <c r="E42" s="44">
        <v>1900000</v>
      </c>
      <c r="F42" s="2"/>
    </row>
    <row r="43" spans="1:6" ht="14.25" customHeight="1" x14ac:dyDescent="0.35">
      <c r="A43" s="43">
        <v>44795</v>
      </c>
      <c r="B43" s="44" t="s">
        <v>19</v>
      </c>
      <c r="C43" s="44">
        <v>3500</v>
      </c>
      <c r="D43" s="44">
        <v>1650</v>
      </c>
      <c r="E43" s="44">
        <v>5775000</v>
      </c>
      <c r="F43" s="2"/>
    </row>
    <row r="44" spans="1:6" ht="14.25" customHeight="1" x14ac:dyDescent="0.35">
      <c r="A44" s="43">
        <v>44795</v>
      </c>
      <c r="B44" s="44" t="s">
        <v>16</v>
      </c>
      <c r="C44" s="44">
        <v>2000</v>
      </c>
      <c r="D44" s="44">
        <v>1200</v>
      </c>
      <c r="E44" s="44">
        <v>2400000</v>
      </c>
      <c r="F44" s="2"/>
    </row>
    <row r="45" spans="1:6" ht="14.25" customHeight="1" x14ac:dyDescent="0.35">
      <c r="A45" s="46">
        <v>44795</v>
      </c>
      <c r="B45" s="44" t="s">
        <v>16</v>
      </c>
      <c r="C45" s="44">
        <v>2000</v>
      </c>
      <c r="D45" s="44">
        <v>1850</v>
      </c>
      <c r="E45" s="44">
        <v>3700000</v>
      </c>
      <c r="F45" s="2"/>
    </row>
    <row r="46" spans="1:6" ht="14.25" customHeight="1" x14ac:dyDescent="0.35">
      <c r="A46" s="46">
        <v>44795</v>
      </c>
      <c r="B46" s="44" t="s">
        <v>9</v>
      </c>
      <c r="C46" s="44">
        <v>2000</v>
      </c>
      <c r="D46" s="44">
        <v>1800</v>
      </c>
      <c r="E46" s="44">
        <v>3600000</v>
      </c>
      <c r="F46" s="2"/>
    </row>
    <row r="47" spans="1:6" ht="14.25" customHeight="1" x14ac:dyDescent="0.35">
      <c r="A47" s="43">
        <v>44795</v>
      </c>
      <c r="B47" s="44" t="s">
        <v>20</v>
      </c>
      <c r="C47" s="44">
        <v>1000</v>
      </c>
      <c r="D47" s="44">
        <v>2300</v>
      </c>
      <c r="E47" s="44">
        <v>2300000</v>
      </c>
      <c r="F47" s="2"/>
    </row>
    <row r="48" spans="1:6" ht="14.25" customHeight="1" x14ac:dyDescent="0.35">
      <c r="A48" s="43">
        <v>44802</v>
      </c>
      <c r="B48" s="44" t="s">
        <v>9</v>
      </c>
      <c r="C48" s="44">
        <v>1000</v>
      </c>
      <c r="D48" s="44">
        <v>1550</v>
      </c>
      <c r="E48" s="44">
        <v>1550000</v>
      </c>
      <c r="F48" s="2"/>
    </row>
    <row r="49" spans="1:6" ht="14.25" customHeight="1" x14ac:dyDescent="0.35">
      <c r="A49" s="43">
        <v>44802</v>
      </c>
      <c r="B49" s="44" t="s">
        <v>101</v>
      </c>
      <c r="C49" s="44">
        <v>2000</v>
      </c>
      <c r="D49" s="44">
        <v>1450</v>
      </c>
      <c r="E49" s="44">
        <v>2900000</v>
      </c>
      <c r="F49" s="2"/>
    </row>
    <row r="50" spans="1:6" ht="14.25" customHeight="1" x14ac:dyDescent="0.35">
      <c r="A50" s="43">
        <v>44802</v>
      </c>
      <c r="B50" s="44" t="s">
        <v>9</v>
      </c>
      <c r="C50" s="44">
        <v>1000</v>
      </c>
      <c r="D50" s="44">
        <v>1800</v>
      </c>
      <c r="E50" s="44">
        <v>1800000</v>
      </c>
      <c r="F50" s="2"/>
    </row>
    <row r="51" spans="1:6" ht="14.25" customHeight="1" x14ac:dyDescent="0.35">
      <c r="A51" s="43">
        <v>44803</v>
      </c>
      <c r="B51" s="44" t="s">
        <v>21</v>
      </c>
      <c r="C51" s="44">
        <v>1000</v>
      </c>
      <c r="D51" s="44">
        <v>1700</v>
      </c>
      <c r="E51" s="44">
        <v>1700000</v>
      </c>
      <c r="F51" s="2"/>
    </row>
    <row r="52" spans="1:6" ht="14.25" customHeight="1" x14ac:dyDescent="0.35">
      <c r="A52" s="43">
        <v>44803</v>
      </c>
      <c r="B52" s="44" t="s">
        <v>9</v>
      </c>
      <c r="C52" s="44">
        <v>1500</v>
      </c>
      <c r="D52" s="44">
        <v>1900</v>
      </c>
      <c r="E52" s="44">
        <v>2850000</v>
      </c>
      <c r="F52" s="2"/>
    </row>
    <row r="53" spans="1:6" ht="14.25" customHeight="1" x14ac:dyDescent="0.35">
      <c r="A53" s="43">
        <v>44803</v>
      </c>
      <c r="B53" s="44" t="s">
        <v>22</v>
      </c>
      <c r="C53" s="44">
        <v>3000</v>
      </c>
      <c r="D53" s="51">
        <v>1300</v>
      </c>
      <c r="E53" s="44">
        <v>3900000</v>
      </c>
      <c r="F53" s="2"/>
    </row>
    <row r="54" spans="1:6" ht="14.25" customHeight="1" x14ac:dyDescent="0.35">
      <c r="A54" s="43">
        <v>44803</v>
      </c>
      <c r="B54" s="44" t="s">
        <v>9</v>
      </c>
      <c r="C54" s="44">
        <v>1000</v>
      </c>
      <c r="D54" s="51">
        <v>2200</v>
      </c>
      <c r="E54" s="44">
        <v>2200000</v>
      </c>
      <c r="F54" s="2"/>
    </row>
    <row r="55" spans="1:6" ht="14.25" customHeight="1" x14ac:dyDescent="0.35">
      <c r="A55" s="43">
        <v>44804</v>
      </c>
      <c r="B55" s="44" t="s">
        <v>23</v>
      </c>
      <c r="C55" s="44">
        <v>1000</v>
      </c>
      <c r="D55" s="51">
        <v>1600</v>
      </c>
      <c r="E55" s="44">
        <v>1600000</v>
      </c>
      <c r="F55" s="2"/>
    </row>
    <row r="56" spans="1:6" ht="14.25" customHeight="1" x14ac:dyDescent="0.35">
      <c r="A56" s="43">
        <v>44804</v>
      </c>
      <c r="B56" s="44" t="s">
        <v>14</v>
      </c>
      <c r="C56" s="44">
        <v>1000</v>
      </c>
      <c r="D56" s="44">
        <v>400</v>
      </c>
      <c r="E56" s="44">
        <v>400000</v>
      </c>
      <c r="F56" s="2"/>
    </row>
    <row r="57" spans="1:6" ht="14.25" customHeight="1" x14ac:dyDescent="0.35">
      <c r="A57" s="43">
        <v>44805</v>
      </c>
      <c r="B57" s="44" t="s">
        <v>24</v>
      </c>
      <c r="C57" s="44">
        <v>1000</v>
      </c>
      <c r="D57" s="44">
        <v>1900</v>
      </c>
      <c r="E57" s="44">
        <v>1900000</v>
      </c>
      <c r="F57" s="2"/>
    </row>
    <row r="58" spans="1:6" ht="14.25" customHeight="1" x14ac:dyDescent="0.35">
      <c r="A58" s="43">
        <v>44806</v>
      </c>
      <c r="B58" s="44" t="s">
        <v>12</v>
      </c>
      <c r="C58" s="44">
        <v>2000</v>
      </c>
      <c r="D58" s="44">
        <v>1500</v>
      </c>
      <c r="E58" s="44">
        <v>3000000</v>
      </c>
      <c r="F58" s="2"/>
    </row>
    <row r="59" spans="1:6" ht="14.25" customHeight="1" x14ac:dyDescent="0.35">
      <c r="A59" s="43">
        <v>44806</v>
      </c>
      <c r="B59" s="44" t="s">
        <v>9</v>
      </c>
      <c r="C59" s="44">
        <v>1000</v>
      </c>
      <c r="D59" s="44">
        <v>1500</v>
      </c>
      <c r="E59" s="44">
        <v>1500000</v>
      </c>
      <c r="F59" s="2"/>
    </row>
    <row r="60" spans="1:6" ht="14.25" customHeight="1" x14ac:dyDescent="0.35">
      <c r="A60" s="43">
        <v>44806</v>
      </c>
      <c r="B60" s="44" t="s">
        <v>14</v>
      </c>
      <c r="C60" s="44">
        <v>1000</v>
      </c>
      <c r="D60" s="44">
        <v>500</v>
      </c>
      <c r="E60" s="44">
        <v>500000</v>
      </c>
      <c r="F60" s="2"/>
    </row>
    <row r="61" spans="1:6" ht="14.25" customHeight="1" x14ac:dyDescent="0.35">
      <c r="A61" s="43">
        <v>44806</v>
      </c>
      <c r="B61" s="44" t="s">
        <v>15</v>
      </c>
      <c r="C61" s="44">
        <v>2000</v>
      </c>
      <c r="D61" s="44">
        <v>945</v>
      </c>
      <c r="E61" s="44">
        <v>1890000</v>
      </c>
      <c r="F61" s="2"/>
    </row>
    <row r="62" spans="1:6" ht="14.25" customHeight="1" x14ac:dyDescent="0.35">
      <c r="A62" s="50">
        <v>44806</v>
      </c>
      <c r="B62" s="44" t="s">
        <v>8</v>
      </c>
      <c r="C62" s="44">
        <v>5000</v>
      </c>
      <c r="D62" s="44">
        <v>800</v>
      </c>
      <c r="E62" s="44">
        <v>4000000</v>
      </c>
      <c r="F62" s="2"/>
    </row>
    <row r="63" spans="1:6" ht="14.25" customHeight="1" x14ac:dyDescent="0.35">
      <c r="A63" s="43">
        <v>44807</v>
      </c>
      <c r="B63" s="44" t="s">
        <v>8</v>
      </c>
      <c r="C63" s="44">
        <v>6000</v>
      </c>
      <c r="D63" s="44">
        <v>950</v>
      </c>
      <c r="E63" s="44">
        <v>5700000</v>
      </c>
      <c r="F63" s="2"/>
    </row>
    <row r="64" spans="1:6" ht="14.25" customHeight="1" x14ac:dyDescent="0.35">
      <c r="A64" s="43">
        <v>44807</v>
      </c>
      <c r="B64" s="44" t="s">
        <v>25</v>
      </c>
      <c r="C64" s="44">
        <v>20000</v>
      </c>
      <c r="D64" s="44">
        <v>250</v>
      </c>
      <c r="E64" s="44">
        <v>5000000</v>
      </c>
      <c r="F64" s="2"/>
    </row>
    <row r="65" spans="1:6" ht="14.25" customHeight="1" x14ac:dyDescent="0.35">
      <c r="A65" s="43">
        <v>44809</v>
      </c>
      <c r="B65" s="44" t="s">
        <v>102</v>
      </c>
      <c r="C65" s="44">
        <v>1000</v>
      </c>
      <c r="D65" s="44">
        <v>1100</v>
      </c>
      <c r="E65" s="44">
        <v>1100000</v>
      </c>
      <c r="F65" s="2"/>
    </row>
    <row r="66" spans="1:6" ht="14.25" customHeight="1" x14ac:dyDescent="0.35">
      <c r="A66" s="43">
        <v>44809</v>
      </c>
      <c r="B66" s="44" t="s">
        <v>15</v>
      </c>
      <c r="C66" s="44">
        <v>1000</v>
      </c>
      <c r="D66" s="44">
        <v>1200</v>
      </c>
      <c r="E66" s="44">
        <v>1200000</v>
      </c>
      <c r="F66" s="2"/>
    </row>
    <row r="67" spans="1:6" ht="14.25" customHeight="1" x14ac:dyDescent="0.35">
      <c r="A67" s="43">
        <v>44809</v>
      </c>
      <c r="B67" s="44" t="s">
        <v>26</v>
      </c>
      <c r="C67" s="44">
        <v>5000</v>
      </c>
      <c r="D67" s="44">
        <v>1200</v>
      </c>
      <c r="E67" s="44">
        <v>6000000</v>
      </c>
      <c r="F67" s="2"/>
    </row>
    <row r="68" spans="1:6" ht="14.25" customHeight="1" x14ac:dyDescent="0.35">
      <c r="A68" s="43">
        <v>44811</v>
      </c>
      <c r="B68" s="44" t="s">
        <v>9</v>
      </c>
      <c r="C68" s="44">
        <v>2000</v>
      </c>
      <c r="D68" s="44">
        <v>1600</v>
      </c>
      <c r="E68" s="44">
        <v>3200000</v>
      </c>
      <c r="F68" s="2"/>
    </row>
    <row r="69" spans="1:6" ht="14.25" customHeight="1" x14ac:dyDescent="0.35">
      <c r="A69" s="43">
        <v>44811</v>
      </c>
      <c r="B69" s="44" t="s">
        <v>9</v>
      </c>
      <c r="C69" s="44">
        <v>2000</v>
      </c>
      <c r="D69" s="44">
        <v>1600</v>
      </c>
      <c r="E69" s="44">
        <v>3200000</v>
      </c>
      <c r="F69" s="2"/>
    </row>
    <row r="70" spans="1:6" ht="14.25" customHeight="1" x14ac:dyDescent="0.35">
      <c r="A70" s="43">
        <v>44811</v>
      </c>
      <c r="B70" s="44" t="s">
        <v>14</v>
      </c>
      <c r="C70" s="44">
        <v>1000</v>
      </c>
      <c r="D70" s="44">
        <v>400</v>
      </c>
      <c r="E70" s="44">
        <v>400000</v>
      </c>
      <c r="F70" s="2"/>
    </row>
    <row r="71" spans="1:6" ht="14.25" customHeight="1" x14ac:dyDescent="0.35">
      <c r="A71" s="43">
        <v>44812</v>
      </c>
      <c r="B71" s="44" t="s">
        <v>8</v>
      </c>
      <c r="C71" s="44">
        <v>5000</v>
      </c>
      <c r="D71" s="44">
        <v>850</v>
      </c>
      <c r="E71" s="44">
        <v>4250000</v>
      </c>
      <c r="F71" s="2"/>
    </row>
    <row r="72" spans="1:6" ht="14.25" customHeight="1" x14ac:dyDescent="0.35">
      <c r="A72" s="43">
        <v>44812</v>
      </c>
      <c r="B72" s="44" t="s">
        <v>9</v>
      </c>
      <c r="C72" s="44">
        <v>1000</v>
      </c>
      <c r="D72" s="44">
        <v>2000</v>
      </c>
      <c r="E72" s="44">
        <v>2000000</v>
      </c>
      <c r="F72" s="2"/>
    </row>
    <row r="73" spans="1:6" ht="14.25" customHeight="1" x14ac:dyDescent="0.35">
      <c r="A73" s="43">
        <v>44812</v>
      </c>
      <c r="B73" s="44" t="s">
        <v>10</v>
      </c>
      <c r="C73" s="44">
        <v>500</v>
      </c>
      <c r="D73" s="44">
        <v>5500</v>
      </c>
      <c r="E73" s="44">
        <v>2750000</v>
      </c>
      <c r="F73" s="2"/>
    </row>
    <row r="74" spans="1:6" ht="14.25" customHeight="1" x14ac:dyDescent="0.35">
      <c r="A74" s="43">
        <v>44812</v>
      </c>
      <c r="B74" s="44" t="s">
        <v>12</v>
      </c>
      <c r="C74" s="44">
        <v>500</v>
      </c>
      <c r="D74" s="49">
        <v>5500</v>
      </c>
      <c r="E74" s="44">
        <v>2750000</v>
      </c>
      <c r="F74" s="2"/>
    </row>
    <row r="75" spans="1:6" ht="14.25" customHeight="1" x14ac:dyDescent="0.35">
      <c r="A75" s="43">
        <v>44812</v>
      </c>
      <c r="B75" s="44" t="s">
        <v>21</v>
      </c>
      <c r="C75" s="44">
        <v>1000</v>
      </c>
      <c r="D75" s="49">
        <v>2500</v>
      </c>
      <c r="E75" s="44">
        <v>2500000</v>
      </c>
      <c r="F75" s="2"/>
    </row>
    <row r="76" spans="1:6" ht="14.25" customHeight="1" x14ac:dyDescent="0.35">
      <c r="A76" s="43">
        <v>44812</v>
      </c>
      <c r="B76" s="44" t="s">
        <v>14</v>
      </c>
      <c r="C76" s="44">
        <v>1000</v>
      </c>
      <c r="D76" s="49">
        <v>300</v>
      </c>
      <c r="E76" s="44">
        <v>300000</v>
      </c>
      <c r="F76" s="2"/>
    </row>
    <row r="77" spans="1:6" ht="14.25" customHeight="1" x14ac:dyDescent="0.35">
      <c r="A77" s="43">
        <v>44812</v>
      </c>
      <c r="B77" s="44" t="s">
        <v>21</v>
      </c>
      <c r="C77" s="44">
        <v>2000</v>
      </c>
      <c r="D77" s="49">
        <v>1500</v>
      </c>
      <c r="E77" s="44">
        <v>3000000</v>
      </c>
      <c r="F77" s="2"/>
    </row>
    <row r="78" spans="1:6" ht="14.25" customHeight="1" x14ac:dyDescent="0.35">
      <c r="A78" s="43">
        <v>44818</v>
      </c>
      <c r="B78" s="44" t="s">
        <v>12</v>
      </c>
      <c r="C78" s="44">
        <v>1000</v>
      </c>
      <c r="D78" s="49">
        <v>2800</v>
      </c>
      <c r="E78" s="44">
        <v>2800000</v>
      </c>
      <c r="F78" s="2"/>
    </row>
    <row r="79" spans="1:6" ht="14.25" customHeight="1" x14ac:dyDescent="0.35">
      <c r="A79" s="43">
        <v>44818</v>
      </c>
      <c r="B79" s="44" t="s">
        <v>8</v>
      </c>
      <c r="C79" s="44">
        <v>2000</v>
      </c>
      <c r="D79" s="44">
        <v>1950</v>
      </c>
      <c r="E79" s="44">
        <v>3900000</v>
      </c>
      <c r="F79" s="2"/>
    </row>
    <row r="80" spans="1:6" ht="14.25" customHeight="1" x14ac:dyDescent="0.35">
      <c r="A80" s="43">
        <v>44818</v>
      </c>
      <c r="B80" s="44" t="s">
        <v>12</v>
      </c>
      <c r="C80" s="44">
        <v>2000</v>
      </c>
      <c r="D80" s="44">
        <v>1975</v>
      </c>
      <c r="E80" s="44">
        <v>3950000</v>
      </c>
      <c r="F80" s="2"/>
    </row>
    <row r="81" spans="1:6" ht="14.25" customHeight="1" x14ac:dyDescent="0.35">
      <c r="A81" s="43">
        <v>44818</v>
      </c>
      <c r="B81" s="44" t="s">
        <v>8</v>
      </c>
      <c r="C81" s="44">
        <v>1000</v>
      </c>
      <c r="D81" s="44">
        <v>1200</v>
      </c>
      <c r="E81" s="44">
        <v>1200000</v>
      </c>
      <c r="F81" s="2"/>
    </row>
    <row r="82" spans="1:6" ht="14.25" customHeight="1" x14ac:dyDescent="0.35">
      <c r="A82" s="43">
        <v>44818</v>
      </c>
      <c r="B82" s="44" t="s">
        <v>27</v>
      </c>
      <c r="C82" s="44">
        <v>1000</v>
      </c>
      <c r="D82" s="44">
        <v>1800</v>
      </c>
      <c r="E82" s="44">
        <v>1800000</v>
      </c>
      <c r="F82" s="2"/>
    </row>
    <row r="83" spans="1:6" ht="14.25" customHeight="1" x14ac:dyDescent="0.35">
      <c r="A83" s="43">
        <v>44818</v>
      </c>
      <c r="B83" s="44" t="s">
        <v>28</v>
      </c>
      <c r="C83" s="44">
        <v>1000</v>
      </c>
      <c r="D83" s="44">
        <v>1600</v>
      </c>
      <c r="E83" s="44">
        <v>1600000</v>
      </c>
      <c r="F83" s="2"/>
    </row>
    <row r="84" spans="1:6" ht="14.25" customHeight="1" x14ac:dyDescent="0.35">
      <c r="A84" s="43">
        <v>44818</v>
      </c>
      <c r="B84" s="44" t="s">
        <v>28</v>
      </c>
      <c r="C84" s="44">
        <v>1000</v>
      </c>
      <c r="D84" s="44">
        <v>1600</v>
      </c>
      <c r="E84" s="44">
        <v>1600000</v>
      </c>
      <c r="F84" s="2"/>
    </row>
    <row r="85" spans="1:6" ht="14.25" customHeight="1" x14ac:dyDescent="0.35">
      <c r="A85" s="43">
        <v>44818</v>
      </c>
      <c r="B85" s="44" t="s">
        <v>17</v>
      </c>
      <c r="C85" s="44">
        <v>1000</v>
      </c>
      <c r="D85" s="44">
        <v>1800</v>
      </c>
      <c r="E85" s="44">
        <v>1800000</v>
      </c>
      <c r="F85" s="2"/>
    </row>
    <row r="86" spans="1:6" ht="14.25" customHeight="1" x14ac:dyDescent="0.35">
      <c r="A86" s="43">
        <v>44818</v>
      </c>
      <c r="B86" s="44" t="s">
        <v>14</v>
      </c>
      <c r="C86" s="44">
        <v>1000</v>
      </c>
      <c r="D86" s="44">
        <v>950</v>
      </c>
      <c r="E86" s="44">
        <v>950000</v>
      </c>
      <c r="F86" s="2"/>
    </row>
    <row r="87" spans="1:6" ht="14.25" customHeight="1" x14ac:dyDescent="0.35">
      <c r="A87" s="43">
        <v>44818</v>
      </c>
      <c r="B87" s="44" t="s">
        <v>26</v>
      </c>
      <c r="C87" s="44">
        <v>1000</v>
      </c>
      <c r="D87" s="44">
        <v>1600</v>
      </c>
      <c r="E87" s="44">
        <v>1600000</v>
      </c>
      <c r="F87" s="2"/>
    </row>
    <row r="88" spans="1:6" ht="14.25" customHeight="1" x14ac:dyDescent="0.35">
      <c r="A88" s="43">
        <v>44818</v>
      </c>
      <c r="B88" s="44" t="s">
        <v>12</v>
      </c>
      <c r="C88" s="44">
        <v>1000</v>
      </c>
      <c r="D88" s="44">
        <v>2500</v>
      </c>
      <c r="E88" s="44">
        <v>2500000</v>
      </c>
      <c r="F88" s="2"/>
    </row>
    <row r="89" spans="1:6" ht="14.25" customHeight="1" x14ac:dyDescent="0.35">
      <c r="A89" s="43">
        <v>44818</v>
      </c>
      <c r="B89" s="44" t="s">
        <v>29</v>
      </c>
      <c r="C89" s="44">
        <v>1000</v>
      </c>
      <c r="D89" s="44">
        <v>2500</v>
      </c>
      <c r="E89" s="44">
        <v>2500000</v>
      </c>
      <c r="F89" s="2"/>
    </row>
    <row r="90" spans="1:6" ht="14.25" customHeight="1" x14ac:dyDescent="0.35">
      <c r="A90" s="43">
        <v>44823</v>
      </c>
      <c r="B90" s="44" t="s">
        <v>9</v>
      </c>
      <c r="C90" s="44">
        <v>500</v>
      </c>
      <c r="D90" s="44">
        <v>1450</v>
      </c>
      <c r="E90" s="44">
        <v>725000</v>
      </c>
      <c r="F90" s="2"/>
    </row>
    <row r="91" spans="1:6" ht="14.25" customHeight="1" x14ac:dyDescent="0.35">
      <c r="A91" s="43">
        <v>44823</v>
      </c>
      <c r="B91" s="44" t="s">
        <v>8</v>
      </c>
      <c r="C91" s="44">
        <v>5000</v>
      </c>
      <c r="D91" s="44">
        <v>1200</v>
      </c>
      <c r="E91" s="44">
        <v>6000000</v>
      </c>
      <c r="F91" s="2"/>
    </row>
    <row r="92" spans="1:6" ht="14.25" customHeight="1" x14ac:dyDescent="0.35">
      <c r="A92" s="43">
        <v>44823</v>
      </c>
      <c r="B92" s="44" t="s">
        <v>9</v>
      </c>
      <c r="C92" s="44">
        <v>1000</v>
      </c>
      <c r="D92" s="44">
        <v>1400</v>
      </c>
      <c r="E92" s="44">
        <v>1400000</v>
      </c>
      <c r="F92" s="2"/>
    </row>
    <row r="93" spans="1:6" ht="14.25" customHeight="1" x14ac:dyDescent="0.35">
      <c r="A93" s="43">
        <v>44823</v>
      </c>
      <c r="B93" s="44" t="s">
        <v>26</v>
      </c>
      <c r="C93" s="44">
        <v>1000</v>
      </c>
      <c r="D93" s="44">
        <v>1650</v>
      </c>
      <c r="E93" s="44">
        <v>1650000</v>
      </c>
      <c r="F93" s="2"/>
    </row>
    <row r="94" spans="1:6" ht="14.25" customHeight="1" x14ac:dyDescent="0.35">
      <c r="A94" s="43">
        <v>44823</v>
      </c>
      <c r="B94" s="44" t="s">
        <v>7</v>
      </c>
      <c r="C94" s="44">
        <v>2500</v>
      </c>
      <c r="D94" s="44">
        <v>700</v>
      </c>
      <c r="E94" s="44">
        <v>1750000</v>
      </c>
      <c r="F94" s="2"/>
    </row>
    <row r="95" spans="1:6" ht="14.25" customHeight="1" x14ac:dyDescent="0.35">
      <c r="A95" s="43">
        <v>44823</v>
      </c>
      <c r="B95" s="44" t="s">
        <v>12</v>
      </c>
      <c r="C95" s="44">
        <v>2000</v>
      </c>
      <c r="D95" s="44">
        <v>1600</v>
      </c>
      <c r="E95" s="44">
        <v>3200000</v>
      </c>
      <c r="F95" s="2"/>
    </row>
    <row r="96" spans="1:6" ht="14.25" customHeight="1" x14ac:dyDescent="0.35">
      <c r="A96" s="43">
        <v>44823</v>
      </c>
      <c r="B96" s="44" t="s">
        <v>12</v>
      </c>
      <c r="C96" s="44">
        <v>2000</v>
      </c>
      <c r="D96" s="44">
        <v>1500</v>
      </c>
      <c r="E96" s="44">
        <v>3000000</v>
      </c>
      <c r="F96" s="2"/>
    </row>
    <row r="97" spans="1:6" ht="14.25" customHeight="1" x14ac:dyDescent="0.35">
      <c r="A97" s="43">
        <v>44823</v>
      </c>
      <c r="B97" s="44" t="s">
        <v>9</v>
      </c>
      <c r="C97" s="44">
        <v>1000</v>
      </c>
      <c r="D97" s="44">
        <v>1400</v>
      </c>
      <c r="E97" s="44">
        <v>1400000</v>
      </c>
      <c r="F97" s="2"/>
    </row>
    <row r="98" spans="1:6" ht="14.25" customHeight="1" x14ac:dyDescent="0.35">
      <c r="A98" s="43">
        <v>44823</v>
      </c>
      <c r="B98" s="44" t="s">
        <v>26</v>
      </c>
      <c r="C98" s="44">
        <v>2000</v>
      </c>
      <c r="D98" s="49">
        <v>2300</v>
      </c>
      <c r="E98" s="44">
        <v>4600000</v>
      </c>
      <c r="F98" s="2"/>
    </row>
    <row r="99" spans="1:6" ht="14.25" customHeight="1" x14ac:dyDescent="0.35">
      <c r="A99" s="43">
        <v>44823</v>
      </c>
      <c r="B99" s="44" t="s">
        <v>8</v>
      </c>
      <c r="C99" s="44">
        <v>4000</v>
      </c>
      <c r="D99" s="44">
        <v>1700</v>
      </c>
      <c r="E99" s="44">
        <v>6800000</v>
      </c>
      <c r="F99" s="2"/>
    </row>
    <row r="100" spans="1:6" ht="14.25" customHeight="1" x14ac:dyDescent="0.35">
      <c r="A100" s="43">
        <v>44823</v>
      </c>
      <c r="B100" s="44" t="s">
        <v>103</v>
      </c>
      <c r="C100" s="44">
        <v>1000</v>
      </c>
      <c r="D100" s="44">
        <v>1200</v>
      </c>
      <c r="E100" s="44">
        <v>1200000</v>
      </c>
      <c r="F100" s="2"/>
    </row>
    <row r="101" spans="1:6" ht="14.25" customHeight="1" x14ac:dyDescent="0.35">
      <c r="A101" s="43">
        <v>44823</v>
      </c>
      <c r="B101" s="44" t="s">
        <v>23</v>
      </c>
      <c r="C101" s="44">
        <v>1000</v>
      </c>
      <c r="D101" s="44">
        <v>1650</v>
      </c>
      <c r="E101" s="44">
        <v>1650000</v>
      </c>
      <c r="F101" s="2"/>
    </row>
    <row r="102" spans="1:6" ht="14.25" customHeight="1" x14ac:dyDescent="0.35">
      <c r="A102" s="53">
        <v>44823</v>
      </c>
      <c r="B102" s="44" t="s">
        <v>8</v>
      </c>
      <c r="C102" s="44">
        <v>3000</v>
      </c>
      <c r="D102" s="44">
        <v>1700</v>
      </c>
      <c r="E102" s="44">
        <v>5100000</v>
      </c>
      <c r="F102" s="2"/>
    </row>
    <row r="103" spans="1:6" ht="14.25" customHeight="1" x14ac:dyDescent="0.35">
      <c r="A103" s="53">
        <v>44823</v>
      </c>
      <c r="B103" s="44" t="s">
        <v>8</v>
      </c>
      <c r="C103" s="44">
        <v>1000</v>
      </c>
      <c r="D103" s="44">
        <v>1200</v>
      </c>
      <c r="E103" s="44">
        <v>1200000</v>
      </c>
      <c r="F103" s="2"/>
    </row>
    <row r="104" spans="1:6" ht="14.25" customHeight="1" x14ac:dyDescent="0.35">
      <c r="A104" s="43">
        <v>44828</v>
      </c>
      <c r="B104" s="44" t="s">
        <v>104</v>
      </c>
      <c r="C104" s="44">
        <v>2000</v>
      </c>
      <c r="D104" s="44">
        <v>1850</v>
      </c>
      <c r="E104" s="44">
        <v>3700000</v>
      </c>
      <c r="F104" s="2"/>
    </row>
    <row r="105" spans="1:6" ht="14.25" customHeight="1" x14ac:dyDescent="0.35">
      <c r="A105" s="43">
        <v>44828</v>
      </c>
      <c r="B105" s="44" t="s">
        <v>102</v>
      </c>
      <c r="C105" s="44">
        <v>2000</v>
      </c>
      <c r="D105" s="44">
        <v>900</v>
      </c>
      <c r="E105" s="44">
        <v>1800000</v>
      </c>
      <c r="F105" s="2"/>
    </row>
    <row r="106" spans="1:6" ht="14.25" customHeight="1" x14ac:dyDescent="0.35">
      <c r="A106" s="43">
        <v>44828</v>
      </c>
      <c r="B106" s="44" t="s">
        <v>9</v>
      </c>
      <c r="C106" s="44">
        <v>1000</v>
      </c>
      <c r="D106" s="44">
        <v>1900</v>
      </c>
      <c r="E106" s="44">
        <v>1900000</v>
      </c>
      <c r="F106" s="2"/>
    </row>
    <row r="107" spans="1:6" ht="14.25" customHeight="1" x14ac:dyDescent="0.35">
      <c r="A107" s="50">
        <v>44828</v>
      </c>
      <c r="B107" s="44" t="s">
        <v>9</v>
      </c>
      <c r="C107" s="44">
        <v>1000</v>
      </c>
      <c r="D107" s="44">
        <v>1900</v>
      </c>
      <c r="E107" s="44">
        <v>1900000</v>
      </c>
      <c r="F107" s="2"/>
    </row>
    <row r="108" spans="1:6" ht="14.25" customHeight="1" x14ac:dyDescent="0.35">
      <c r="A108" s="43">
        <v>44828</v>
      </c>
      <c r="B108" s="44" t="s">
        <v>10</v>
      </c>
      <c r="C108" s="44">
        <v>2000</v>
      </c>
      <c r="D108" s="44">
        <v>950</v>
      </c>
      <c r="E108" s="44">
        <v>1900000</v>
      </c>
      <c r="F108" s="2"/>
    </row>
    <row r="109" spans="1:6" ht="14.25" customHeight="1" x14ac:dyDescent="0.35">
      <c r="A109" s="43">
        <v>44828</v>
      </c>
      <c r="B109" s="44" t="s">
        <v>9</v>
      </c>
      <c r="C109" s="44">
        <v>1000</v>
      </c>
      <c r="D109" s="51">
        <v>2200</v>
      </c>
      <c r="E109" s="44">
        <v>2200000</v>
      </c>
      <c r="F109" s="2"/>
    </row>
    <row r="110" spans="1:6" ht="14.25" customHeight="1" x14ac:dyDescent="0.35">
      <c r="A110" s="43">
        <v>44828</v>
      </c>
      <c r="B110" s="44" t="s">
        <v>9</v>
      </c>
      <c r="C110" s="44">
        <v>1000</v>
      </c>
      <c r="D110" s="44">
        <v>1550</v>
      </c>
      <c r="E110" s="44">
        <v>1550000</v>
      </c>
      <c r="F110" s="2"/>
    </row>
    <row r="111" spans="1:6" ht="14.25" customHeight="1" x14ac:dyDescent="0.35">
      <c r="A111" s="43">
        <v>44828</v>
      </c>
      <c r="B111" s="44" t="s">
        <v>8</v>
      </c>
      <c r="C111" s="44">
        <v>3000</v>
      </c>
      <c r="D111" s="44">
        <v>1000</v>
      </c>
      <c r="E111" s="44">
        <v>3000000</v>
      </c>
      <c r="F111" s="2"/>
    </row>
    <row r="112" spans="1:6"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
  <sheetViews>
    <sheetView workbookViewId="0">
      <selection activeCell="I11" sqref="I11"/>
    </sheetView>
  </sheetViews>
  <sheetFormatPr defaultColWidth="14.453125" defaultRowHeight="15" customHeight="1" x14ac:dyDescent="0.35"/>
  <cols>
    <col min="1" max="1" width="12.26953125" style="9" bestFit="1" customWidth="1"/>
    <col min="2" max="2" width="17.08984375" style="9" bestFit="1" customWidth="1"/>
    <col min="3" max="3" width="12.54296875" style="17" bestFit="1" customWidth="1"/>
    <col min="4" max="4" width="17.08984375" style="11" bestFit="1" customWidth="1"/>
    <col min="5" max="5" width="11.7265625" style="14" bestFit="1" customWidth="1"/>
    <col min="6" max="6" width="14.90625" style="14" bestFit="1" customWidth="1"/>
    <col min="7" max="7" width="20.81640625" bestFit="1" customWidth="1"/>
    <col min="8" max="20" width="8.7265625" customWidth="1"/>
  </cols>
  <sheetData>
    <row r="1" spans="1:7" ht="14.25" customHeight="1" x14ac:dyDescent="0.35">
      <c r="A1" s="7" t="s">
        <v>0</v>
      </c>
      <c r="B1" s="7" t="s">
        <v>1</v>
      </c>
      <c r="C1" s="10" t="s">
        <v>35</v>
      </c>
      <c r="D1" s="10" t="s">
        <v>2</v>
      </c>
      <c r="E1" s="12" t="s">
        <v>3</v>
      </c>
      <c r="F1" s="12" t="s">
        <v>4</v>
      </c>
      <c r="G1" s="1" t="s">
        <v>5</v>
      </c>
    </row>
    <row r="2" spans="1:7" ht="14.25" customHeight="1" x14ac:dyDescent="0.35">
      <c r="A2" s="8">
        <v>44828</v>
      </c>
      <c r="B2" s="8" t="s">
        <v>10</v>
      </c>
      <c r="C2" s="19">
        <v>270</v>
      </c>
      <c r="D2" s="18">
        <v>2000</v>
      </c>
      <c r="E2" s="13">
        <v>950</v>
      </c>
      <c r="F2" s="13">
        <v>1900000</v>
      </c>
      <c r="G2" s="2" t="s">
        <v>31</v>
      </c>
    </row>
    <row r="3" spans="1:7" ht="14.25" customHeight="1" x14ac:dyDescent="0.35">
      <c r="A3" s="8">
        <v>44828</v>
      </c>
      <c r="B3" s="8" t="s">
        <v>8</v>
      </c>
      <c r="C3" s="19">
        <v>290</v>
      </c>
      <c r="D3" s="18">
        <v>2000</v>
      </c>
      <c r="E3" s="13">
        <v>1850</v>
      </c>
      <c r="F3" s="13">
        <v>3700000</v>
      </c>
      <c r="G3" s="2" t="s">
        <v>31</v>
      </c>
    </row>
    <row r="4" spans="1:7" ht="14.25" customHeight="1" x14ac:dyDescent="0.35">
      <c r="A4" s="8">
        <v>44828</v>
      </c>
      <c r="B4" s="8" t="s">
        <v>8</v>
      </c>
      <c r="C4" s="19">
        <v>290</v>
      </c>
      <c r="D4" s="18">
        <v>2000</v>
      </c>
      <c r="E4" s="13">
        <v>900</v>
      </c>
      <c r="F4" s="13">
        <v>1800000</v>
      </c>
      <c r="G4" s="2" t="s">
        <v>32</v>
      </c>
    </row>
    <row r="5" spans="1:7" ht="14.25" customHeight="1" x14ac:dyDescent="0.35">
      <c r="A5" s="8">
        <v>44828</v>
      </c>
      <c r="B5" s="8" t="s">
        <v>8</v>
      </c>
      <c r="C5" s="19">
        <v>290</v>
      </c>
      <c r="D5" s="18">
        <v>3000</v>
      </c>
      <c r="E5" s="13">
        <v>1000</v>
      </c>
      <c r="F5" s="13">
        <v>3000000</v>
      </c>
      <c r="G5" s="2" t="s">
        <v>34</v>
      </c>
    </row>
    <row r="6" spans="1:7" ht="14.25" customHeight="1" x14ac:dyDescent="0.35">
      <c r="A6" s="8">
        <v>44828</v>
      </c>
      <c r="B6" s="8" t="s">
        <v>9</v>
      </c>
      <c r="C6" s="19">
        <v>310</v>
      </c>
      <c r="D6" s="18">
        <v>1000</v>
      </c>
      <c r="E6" s="13">
        <v>1900</v>
      </c>
      <c r="F6" s="13">
        <v>1900000</v>
      </c>
      <c r="G6" s="2" t="s">
        <v>34</v>
      </c>
    </row>
    <row r="7" spans="1:7" ht="14.25" customHeight="1" x14ac:dyDescent="0.35">
      <c r="A7" s="8">
        <v>44828</v>
      </c>
      <c r="B7" s="8" t="s">
        <v>9</v>
      </c>
      <c r="C7" s="19">
        <v>310</v>
      </c>
      <c r="D7" s="18">
        <v>1000</v>
      </c>
      <c r="E7" s="13">
        <v>1900</v>
      </c>
      <c r="F7" s="13">
        <v>1900000</v>
      </c>
      <c r="G7" s="2" t="s">
        <v>34</v>
      </c>
    </row>
    <row r="8" spans="1:7" ht="14.25" customHeight="1" x14ac:dyDescent="0.35">
      <c r="A8" s="8">
        <v>44828</v>
      </c>
      <c r="B8" s="8" t="s">
        <v>9</v>
      </c>
      <c r="C8" s="19">
        <v>310</v>
      </c>
      <c r="D8" s="18">
        <v>1000</v>
      </c>
      <c r="E8" s="13">
        <v>2200</v>
      </c>
      <c r="F8" s="13">
        <v>2200000</v>
      </c>
      <c r="G8" s="2" t="s">
        <v>34</v>
      </c>
    </row>
    <row r="9" spans="1:7" ht="14.25" customHeight="1" x14ac:dyDescent="0.35">
      <c r="A9" s="8">
        <v>44828</v>
      </c>
      <c r="B9" s="8" t="s">
        <v>9</v>
      </c>
      <c r="C9" s="19">
        <v>310</v>
      </c>
      <c r="D9" s="18">
        <v>1000</v>
      </c>
      <c r="E9" s="13">
        <v>1550</v>
      </c>
      <c r="F9" s="13">
        <v>1550000</v>
      </c>
      <c r="G9" s="2" t="s">
        <v>31</v>
      </c>
    </row>
    <row r="10" spans="1:7" ht="14.25" customHeight="1" x14ac:dyDescent="0.35">
      <c r="A10" s="8">
        <v>44823</v>
      </c>
      <c r="B10" s="8" t="s">
        <v>7</v>
      </c>
      <c r="C10" s="19">
        <v>245</v>
      </c>
      <c r="D10" s="18">
        <v>2500</v>
      </c>
      <c r="E10" s="13">
        <v>700</v>
      </c>
      <c r="F10" s="13">
        <v>1750000</v>
      </c>
      <c r="G10" s="2" t="s">
        <v>32</v>
      </c>
    </row>
    <row r="11" spans="1:7" ht="14.25" customHeight="1" x14ac:dyDescent="0.35">
      <c r="A11" s="8">
        <v>44823</v>
      </c>
      <c r="B11" s="8" t="s">
        <v>23</v>
      </c>
      <c r="C11" s="19">
        <v>250</v>
      </c>
      <c r="D11" s="18">
        <v>1000</v>
      </c>
      <c r="E11" s="13">
        <v>1650</v>
      </c>
      <c r="F11" s="13">
        <v>1650000</v>
      </c>
      <c r="G11" s="2" t="s">
        <v>32</v>
      </c>
    </row>
    <row r="12" spans="1:7" ht="14.25" customHeight="1" x14ac:dyDescent="0.35">
      <c r="A12" s="8">
        <v>44823</v>
      </c>
      <c r="B12" s="8" t="s">
        <v>26</v>
      </c>
      <c r="C12" s="19">
        <v>260</v>
      </c>
      <c r="D12" s="18">
        <v>1000</v>
      </c>
      <c r="E12" s="13">
        <v>1650</v>
      </c>
      <c r="F12" s="13">
        <v>1650000</v>
      </c>
      <c r="G12" s="2" t="s">
        <v>32</v>
      </c>
    </row>
    <row r="13" spans="1:7" ht="14.25" customHeight="1" x14ac:dyDescent="0.35">
      <c r="A13" s="8">
        <v>44823</v>
      </c>
      <c r="B13" s="8" t="s">
        <v>26</v>
      </c>
      <c r="C13" s="19">
        <v>260</v>
      </c>
      <c r="D13" s="18">
        <v>2000</v>
      </c>
      <c r="E13" s="13">
        <v>2300</v>
      </c>
      <c r="F13" s="13">
        <v>4600000</v>
      </c>
      <c r="G13" s="2" t="s">
        <v>32</v>
      </c>
    </row>
    <row r="14" spans="1:7" ht="14.25" customHeight="1" x14ac:dyDescent="0.35">
      <c r="A14" s="8">
        <v>44823</v>
      </c>
      <c r="B14" s="8" t="s">
        <v>8</v>
      </c>
      <c r="C14" s="19">
        <v>290</v>
      </c>
      <c r="D14" s="18">
        <v>5000</v>
      </c>
      <c r="E14" s="13">
        <v>1200</v>
      </c>
      <c r="F14" s="13">
        <v>6000000</v>
      </c>
      <c r="G14" s="2" t="s">
        <v>32</v>
      </c>
    </row>
    <row r="15" spans="1:7" ht="14.25" customHeight="1" x14ac:dyDescent="0.35">
      <c r="A15" s="8">
        <v>44823</v>
      </c>
      <c r="B15" s="8" t="s">
        <v>8</v>
      </c>
      <c r="C15" s="19">
        <v>290</v>
      </c>
      <c r="D15" s="18">
        <v>4000</v>
      </c>
      <c r="E15" s="13">
        <v>1700</v>
      </c>
      <c r="F15" s="13">
        <v>6800000</v>
      </c>
      <c r="G15" s="2" t="s">
        <v>33</v>
      </c>
    </row>
    <row r="16" spans="1:7" ht="14.25" customHeight="1" x14ac:dyDescent="0.35">
      <c r="A16" s="8">
        <v>44823</v>
      </c>
      <c r="B16" s="8" t="s">
        <v>8</v>
      </c>
      <c r="C16" s="19">
        <v>290</v>
      </c>
      <c r="D16" s="18">
        <v>1000</v>
      </c>
      <c r="E16" s="13">
        <v>1200</v>
      </c>
      <c r="F16" s="13">
        <v>1200000</v>
      </c>
      <c r="G16" s="2" t="s">
        <v>32</v>
      </c>
    </row>
    <row r="17" spans="1:7" ht="14.25" customHeight="1" x14ac:dyDescent="0.35">
      <c r="A17" s="8">
        <v>44823</v>
      </c>
      <c r="B17" s="8" t="s">
        <v>8</v>
      </c>
      <c r="C17" s="19">
        <v>290</v>
      </c>
      <c r="D17" s="18">
        <v>3000</v>
      </c>
      <c r="E17" s="13">
        <v>1700</v>
      </c>
      <c r="F17" s="13">
        <v>5100000</v>
      </c>
      <c r="G17" s="2" t="s">
        <v>34</v>
      </c>
    </row>
    <row r="18" spans="1:7" ht="14.25" customHeight="1" x14ac:dyDescent="0.35">
      <c r="A18" s="8">
        <v>44823</v>
      </c>
      <c r="B18" s="8" t="s">
        <v>8</v>
      </c>
      <c r="C18" s="19">
        <v>290</v>
      </c>
      <c r="D18" s="18">
        <v>1000</v>
      </c>
      <c r="E18" s="13">
        <v>1200</v>
      </c>
      <c r="F18" s="13">
        <v>1200000</v>
      </c>
      <c r="G18" s="2" t="s">
        <v>32</v>
      </c>
    </row>
    <row r="19" spans="1:7" ht="14.25" customHeight="1" x14ac:dyDescent="0.35">
      <c r="A19" s="8">
        <v>44823</v>
      </c>
      <c r="B19" s="8" t="s">
        <v>9</v>
      </c>
      <c r="C19" s="19">
        <v>310</v>
      </c>
      <c r="D19" s="18">
        <v>500</v>
      </c>
      <c r="E19" s="13">
        <v>1450</v>
      </c>
      <c r="F19" s="13">
        <v>725000</v>
      </c>
      <c r="G19" s="2" t="s">
        <v>32</v>
      </c>
    </row>
    <row r="20" spans="1:7" ht="14.25" customHeight="1" x14ac:dyDescent="0.35">
      <c r="A20" s="8">
        <v>44823</v>
      </c>
      <c r="B20" s="8" t="s">
        <v>9</v>
      </c>
      <c r="C20" s="19">
        <v>310</v>
      </c>
      <c r="D20" s="18">
        <v>1000</v>
      </c>
      <c r="E20" s="13">
        <v>1400</v>
      </c>
      <c r="F20" s="13">
        <v>1400000</v>
      </c>
      <c r="G20" s="2" t="s">
        <v>34</v>
      </c>
    </row>
    <row r="21" spans="1:7" ht="14.25" customHeight="1" x14ac:dyDescent="0.35">
      <c r="A21" s="8">
        <v>44823</v>
      </c>
      <c r="B21" s="8" t="s">
        <v>9</v>
      </c>
      <c r="C21" s="19">
        <v>310</v>
      </c>
      <c r="D21" s="18">
        <v>1000</v>
      </c>
      <c r="E21" s="13">
        <v>1400</v>
      </c>
      <c r="F21" s="13">
        <v>1400000</v>
      </c>
      <c r="G21" s="2" t="s">
        <v>32</v>
      </c>
    </row>
    <row r="22" spans="1:7" ht="14.25" customHeight="1" x14ac:dyDescent="0.35">
      <c r="A22" s="8">
        <v>44823</v>
      </c>
      <c r="B22" s="8" t="s">
        <v>12</v>
      </c>
      <c r="C22" s="19">
        <v>350</v>
      </c>
      <c r="D22" s="18">
        <v>2000</v>
      </c>
      <c r="E22" s="13">
        <v>1600</v>
      </c>
      <c r="F22" s="13">
        <v>3200000</v>
      </c>
      <c r="G22" s="2" t="s">
        <v>32</v>
      </c>
    </row>
    <row r="23" spans="1:7" ht="14.25" customHeight="1" x14ac:dyDescent="0.35">
      <c r="A23" s="8">
        <v>44823</v>
      </c>
      <c r="B23" s="8" t="s">
        <v>12</v>
      </c>
      <c r="C23" s="19">
        <v>350</v>
      </c>
      <c r="D23" s="18">
        <v>2000</v>
      </c>
      <c r="E23" s="13">
        <v>1500</v>
      </c>
      <c r="F23" s="13">
        <v>3000000</v>
      </c>
      <c r="G23" s="2" t="s">
        <v>32</v>
      </c>
    </row>
    <row r="24" spans="1:7" ht="14.25" customHeight="1" x14ac:dyDescent="0.35">
      <c r="A24" s="8">
        <v>44818</v>
      </c>
      <c r="B24" s="8" t="s">
        <v>14</v>
      </c>
      <c r="C24" s="16">
        <v>100</v>
      </c>
      <c r="D24" s="18">
        <v>1000</v>
      </c>
      <c r="E24" s="13">
        <v>950</v>
      </c>
      <c r="F24" s="13">
        <v>950000</v>
      </c>
      <c r="G24" s="2" t="s">
        <v>32</v>
      </c>
    </row>
    <row r="25" spans="1:7" ht="14.25" customHeight="1" x14ac:dyDescent="0.35">
      <c r="A25" s="8">
        <v>44818</v>
      </c>
      <c r="B25" s="8" t="s">
        <v>27</v>
      </c>
      <c r="C25" s="19">
        <v>260</v>
      </c>
      <c r="D25" s="18">
        <v>1000</v>
      </c>
      <c r="E25" s="13">
        <v>1800</v>
      </c>
      <c r="F25" s="13">
        <v>1800000</v>
      </c>
      <c r="G25" s="2" t="s">
        <v>31</v>
      </c>
    </row>
    <row r="26" spans="1:7" ht="14.25" customHeight="1" x14ac:dyDescent="0.35">
      <c r="A26" s="8">
        <v>44818</v>
      </c>
      <c r="B26" s="8" t="s">
        <v>26</v>
      </c>
      <c r="C26" s="19">
        <v>260</v>
      </c>
      <c r="D26" s="18">
        <v>1000</v>
      </c>
      <c r="E26" s="13">
        <v>1600</v>
      </c>
      <c r="F26" s="13">
        <v>1600000</v>
      </c>
      <c r="G26" s="2" t="s">
        <v>32</v>
      </c>
    </row>
    <row r="27" spans="1:7" ht="14.25" customHeight="1" x14ac:dyDescent="0.35">
      <c r="A27" s="8">
        <v>44818</v>
      </c>
      <c r="B27" s="8" t="s">
        <v>17</v>
      </c>
      <c r="C27" s="19">
        <v>270</v>
      </c>
      <c r="D27" s="18">
        <v>1000</v>
      </c>
      <c r="E27" s="13">
        <v>1800</v>
      </c>
      <c r="F27" s="13">
        <v>1800000</v>
      </c>
      <c r="G27" s="2" t="s">
        <v>33</v>
      </c>
    </row>
    <row r="28" spans="1:7" ht="14.25" customHeight="1" x14ac:dyDescent="0.35">
      <c r="A28" s="8">
        <v>44818</v>
      </c>
      <c r="B28" s="8" t="s">
        <v>8</v>
      </c>
      <c r="C28" s="19">
        <v>290</v>
      </c>
      <c r="D28" s="18">
        <v>2000</v>
      </c>
      <c r="E28" s="13">
        <v>1950</v>
      </c>
      <c r="F28" s="13">
        <v>3900000</v>
      </c>
      <c r="G28" s="2" t="s">
        <v>34</v>
      </c>
    </row>
    <row r="29" spans="1:7" ht="14.25" customHeight="1" x14ac:dyDescent="0.35">
      <c r="A29" s="8">
        <v>44818</v>
      </c>
      <c r="B29" s="8" t="s">
        <v>8</v>
      </c>
      <c r="C29" s="19">
        <v>290</v>
      </c>
      <c r="D29" s="18">
        <v>1000</v>
      </c>
      <c r="E29" s="13">
        <v>1200</v>
      </c>
      <c r="F29" s="13">
        <v>1200000</v>
      </c>
      <c r="G29" s="2" t="s">
        <v>33</v>
      </c>
    </row>
    <row r="30" spans="1:7" ht="14.25" customHeight="1" x14ac:dyDescent="0.35">
      <c r="A30" s="8">
        <v>44818</v>
      </c>
      <c r="B30" s="8" t="s">
        <v>28</v>
      </c>
      <c r="C30" s="19">
        <v>295</v>
      </c>
      <c r="D30" s="18">
        <v>1000</v>
      </c>
      <c r="E30" s="13">
        <v>1600</v>
      </c>
      <c r="F30" s="13">
        <v>1600000</v>
      </c>
      <c r="G30" s="2" t="s">
        <v>31</v>
      </c>
    </row>
    <row r="31" spans="1:7" ht="14.25" customHeight="1" x14ac:dyDescent="0.35">
      <c r="A31" s="8">
        <v>44818</v>
      </c>
      <c r="B31" s="8" t="s">
        <v>28</v>
      </c>
      <c r="C31" s="19">
        <v>295</v>
      </c>
      <c r="D31" s="18">
        <v>1000</v>
      </c>
      <c r="E31" s="13">
        <v>1600</v>
      </c>
      <c r="F31" s="13">
        <v>1600000</v>
      </c>
      <c r="G31" s="2" t="s">
        <v>34</v>
      </c>
    </row>
    <row r="32" spans="1:7" ht="14.25" customHeight="1" x14ac:dyDescent="0.35">
      <c r="A32" s="8">
        <v>44818</v>
      </c>
      <c r="B32" s="8" t="s">
        <v>12</v>
      </c>
      <c r="C32" s="19">
        <v>350</v>
      </c>
      <c r="D32" s="18">
        <v>1000</v>
      </c>
      <c r="E32" s="13">
        <v>2800</v>
      </c>
      <c r="F32" s="13">
        <v>2800000</v>
      </c>
      <c r="G32" s="2" t="s">
        <v>34</v>
      </c>
    </row>
    <row r="33" spans="1:7" ht="14.25" customHeight="1" x14ac:dyDescent="0.35">
      <c r="A33" s="8">
        <v>44818</v>
      </c>
      <c r="B33" s="8" t="s">
        <v>12</v>
      </c>
      <c r="C33" s="19">
        <v>350</v>
      </c>
      <c r="D33" s="18">
        <v>2000</v>
      </c>
      <c r="E33" s="13">
        <v>1975</v>
      </c>
      <c r="F33" s="13">
        <v>3950000</v>
      </c>
      <c r="G33" s="2" t="s">
        <v>31</v>
      </c>
    </row>
    <row r="34" spans="1:7" ht="14.25" customHeight="1" x14ac:dyDescent="0.35">
      <c r="A34" s="8">
        <v>44818</v>
      </c>
      <c r="B34" s="8" t="s">
        <v>12</v>
      </c>
      <c r="C34" s="19">
        <v>350</v>
      </c>
      <c r="D34" s="18">
        <v>1000</v>
      </c>
      <c r="E34" s="13">
        <v>2500</v>
      </c>
      <c r="F34" s="13">
        <v>2500000</v>
      </c>
      <c r="G34" s="2" t="s">
        <v>33</v>
      </c>
    </row>
    <row r="35" spans="1:7" ht="14.25" customHeight="1" x14ac:dyDescent="0.35">
      <c r="A35" s="8">
        <v>44818</v>
      </c>
      <c r="B35" s="8" t="s">
        <v>29</v>
      </c>
      <c r="C35" s="19">
        <v>400</v>
      </c>
      <c r="D35" s="18">
        <v>1000</v>
      </c>
      <c r="E35" s="13">
        <v>2500</v>
      </c>
      <c r="F35" s="13">
        <v>2500000</v>
      </c>
      <c r="G35" s="2" t="s">
        <v>32</v>
      </c>
    </row>
    <row r="36" spans="1:7" ht="14.25" customHeight="1" x14ac:dyDescent="0.35">
      <c r="A36" s="8">
        <v>44812</v>
      </c>
      <c r="B36" s="8" t="s">
        <v>14</v>
      </c>
      <c r="C36" s="16">
        <v>100</v>
      </c>
      <c r="D36" s="18">
        <v>1000</v>
      </c>
      <c r="E36" s="13">
        <v>300</v>
      </c>
      <c r="F36" s="13">
        <v>300000</v>
      </c>
      <c r="G36" s="2" t="s">
        <v>32</v>
      </c>
    </row>
    <row r="37" spans="1:7" ht="14.25" customHeight="1" x14ac:dyDescent="0.35">
      <c r="A37" s="8">
        <v>44812</v>
      </c>
      <c r="B37" s="8" t="s">
        <v>10</v>
      </c>
      <c r="C37" s="19">
        <v>270</v>
      </c>
      <c r="D37" s="18">
        <v>500</v>
      </c>
      <c r="E37" s="13">
        <v>5500</v>
      </c>
      <c r="F37" s="13">
        <v>2750000</v>
      </c>
      <c r="G37" s="2" t="s">
        <v>32</v>
      </c>
    </row>
    <row r="38" spans="1:7" ht="14.25" customHeight="1" x14ac:dyDescent="0.35">
      <c r="A38" s="8">
        <v>44812</v>
      </c>
      <c r="B38" s="8" t="s">
        <v>8</v>
      </c>
      <c r="C38" s="19">
        <v>290</v>
      </c>
      <c r="D38" s="18">
        <v>5000</v>
      </c>
      <c r="E38" s="13">
        <v>850</v>
      </c>
      <c r="F38" s="13">
        <v>4250000</v>
      </c>
      <c r="G38" s="2" t="s">
        <v>32</v>
      </c>
    </row>
    <row r="39" spans="1:7" ht="14.25" customHeight="1" x14ac:dyDescent="0.35">
      <c r="A39" s="8">
        <v>44812</v>
      </c>
      <c r="B39" s="8" t="s">
        <v>21</v>
      </c>
      <c r="C39" s="19">
        <v>300</v>
      </c>
      <c r="D39" s="18">
        <v>1000</v>
      </c>
      <c r="E39" s="13">
        <v>2500</v>
      </c>
      <c r="F39" s="13">
        <v>2500000</v>
      </c>
      <c r="G39" s="2" t="s">
        <v>32</v>
      </c>
    </row>
    <row r="40" spans="1:7" ht="14.25" customHeight="1" x14ac:dyDescent="0.35">
      <c r="A40" s="8">
        <v>44812</v>
      </c>
      <c r="B40" s="8" t="s">
        <v>21</v>
      </c>
      <c r="C40" s="19">
        <v>300</v>
      </c>
      <c r="D40" s="18">
        <v>2000</v>
      </c>
      <c r="E40" s="13">
        <v>1500</v>
      </c>
      <c r="F40" s="13">
        <v>3000000</v>
      </c>
      <c r="G40" s="2" t="s">
        <v>33</v>
      </c>
    </row>
    <row r="41" spans="1:7" ht="14.25" customHeight="1" x14ac:dyDescent="0.35">
      <c r="A41" s="8">
        <v>44812</v>
      </c>
      <c r="B41" s="8" t="s">
        <v>9</v>
      </c>
      <c r="C41" s="19">
        <v>310</v>
      </c>
      <c r="D41" s="18">
        <v>1000</v>
      </c>
      <c r="E41" s="13">
        <v>2000</v>
      </c>
      <c r="F41" s="13">
        <v>2000000</v>
      </c>
      <c r="G41" s="2" t="s">
        <v>32</v>
      </c>
    </row>
    <row r="42" spans="1:7" ht="14.25" customHeight="1" x14ac:dyDescent="0.35">
      <c r="A42" s="8">
        <v>44812</v>
      </c>
      <c r="B42" s="8" t="s">
        <v>12</v>
      </c>
      <c r="C42" s="19">
        <v>350</v>
      </c>
      <c r="D42" s="18">
        <v>500</v>
      </c>
      <c r="E42" s="13">
        <v>5500</v>
      </c>
      <c r="F42" s="13">
        <v>2750000</v>
      </c>
      <c r="G42" s="2" t="s">
        <v>32</v>
      </c>
    </row>
    <row r="43" spans="1:7" ht="14.25" customHeight="1" x14ac:dyDescent="0.35">
      <c r="A43" s="8">
        <v>44811</v>
      </c>
      <c r="B43" s="8" t="s">
        <v>14</v>
      </c>
      <c r="C43" s="16">
        <v>100</v>
      </c>
      <c r="D43" s="18">
        <v>1000</v>
      </c>
      <c r="E43" s="13">
        <v>400</v>
      </c>
      <c r="F43" s="13">
        <v>400000</v>
      </c>
      <c r="G43" s="2" t="s">
        <v>32</v>
      </c>
    </row>
    <row r="44" spans="1:7" ht="14.25" customHeight="1" x14ac:dyDescent="0.35">
      <c r="A44" s="8">
        <v>44811</v>
      </c>
      <c r="B44" s="8" t="s">
        <v>9</v>
      </c>
      <c r="C44" s="19">
        <v>310</v>
      </c>
      <c r="D44" s="18">
        <v>2000</v>
      </c>
      <c r="E44" s="13">
        <v>1600</v>
      </c>
      <c r="F44" s="13">
        <v>3200000</v>
      </c>
      <c r="G44" s="2" t="s">
        <v>31</v>
      </c>
    </row>
    <row r="45" spans="1:7" ht="14.25" customHeight="1" x14ac:dyDescent="0.35">
      <c r="A45" s="8">
        <v>44811</v>
      </c>
      <c r="B45" s="8" t="s">
        <v>9</v>
      </c>
      <c r="C45" s="19">
        <v>310</v>
      </c>
      <c r="D45" s="18">
        <v>2000</v>
      </c>
      <c r="E45" s="13">
        <v>1600</v>
      </c>
      <c r="F45" s="13">
        <v>3200000</v>
      </c>
      <c r="G45" s="2" t="s">
        <v>31</v>
      </c>
    </row>
    <row r="46" spans="1:7" ht="14.25" customHeight="1" x14ac:dyDescent="0.35">
      <c r="A46" s="8">
        <v>44809</v>
      </c>
      <c r="B46" s="8" t="s">
        <v>15</v>
      </c>
      <c r="C46" s="19">
        <v>230</v>
      </c>
      <c r="D46" s="18">
        <v>1000</v>
      </c>
      <c r="E46" s="13">
        <v>1200</v>
      </c>
      <c r="F46" s="13">
        <v>1200000</v>
      </c>
      <c r="G46" s="2" t="s">
        <v>31</v>
      </c>
    </row>
    <row r="47" spans="1:7" ht="14.25" customHeight="1" x14ac:dyDescent="0.35">
      <c r="A47" s="8">
        <v>44809</v>
      </c>
      <c r="B47" s="8" t="s">
        <v>26</v>
      </c>
      <c r="C47" s="19">
        <v>260</v>
      </c>
      <c r="D47" s="18">
        <v>5000</v>
      </c>
      <c r="E47" s="13">
        <v>1200</v>
      </c>
      <c r="F47" s="13">
        <v>6000000</v>
      </c>
      <c r="G47" s="2" t="s">
        <v>31</v>
      </c>
    </row>
    <row r="48" spans="1:7" ht="14.25" customHeight="1" x14ac:dyDescent="0.35">
      <c r="A48" s="8">
        <v>44809</v>
      </c>
      <c r="B48" s="8" t="s">
        <v>8</v>
      </c>
      <c r="C48" s="19">
        <v>290</v>
      </c>
      <c r="D48" s="18">
        <v>1000</v>
      </c>
      <c r="E48" s="13">
        <v>1100</v>
      </c>
      <c r="F48" s="13">
        <v>1100000</v>
      </c>
      <c r="G48" s="2" t="s">
        <v>31</v>
      </c>
    </row>
    <row r="49" spans="1:7" ht="14.25" customHeight="1" x14ac:dyDescent="0.35">
      <c r="A49" s="8">
        <v>44807</v>
      </c>
      <c r="B49" s="8" t="s">
        <v>8</v>
      </c>
      <c r="C49" s="19">
        <v>290</v>
      </c>
      <c r="D49" s="18">
        <v>6000</v>
      </c>
      <c r="E49" s="13">
        <v>950</v>
      </c>
      <c r="F49" s="13">
        <v>5700000</v>
      </c>
      <c r="G49" s="2" t="s">
        <v>34</v>
      </c>
    </row>
    <row r="50" spans="1:7" ht="14.25" customHeight="1" x14ac:dyDescent="0.35">
      <c r="A50" s="8">
        <v>44807</v>
      </c>
      <c r="B50" s="8" t="s">
        <v>25</v>
      </c>
      <c r="C50" s="16">
        <v>300</v>
      </c>
      <c r="D50" s="18">
        <v>20000</v>
      </c>
      <c r="E50" s="13">
        <v>250</v>
      </c>
      <c r="F50" s="13">
        <v>5000000</v>
      </c>
      <c r="G50" s="2" t="s">
        <v>31</v>
      </c>
    </row>
    <row r="51" spans="1:7" ht="14.25" customHeight="1" x14ac:dyDescent="0.35">
      <c r="A51" s="8">
        <v>44806</v>
      </c>
      <c r="B51" s="8" t="s">
        <v>15</v>
      </c>
      <c r="C51" s="19">
        <v>230</v>
      </c>
      <c r="D51" s="18">
        <v>2000</v>
      </c>
      <c r="E51" s="13">
        <v>945</v>
      </c>
      <c r="F51" s="13">
        <v>1890000</v>
      </c>
      <c r="G51" s="2" t="s">
        <v>32</v>
      </c>
    </row>
    <row r="52" spans="1:7" ht="14.25" customHeight="1" x14ac:dyDescent="0.35">
      <c r="A52" s="8">
        <v>44806</v>
      </c>
      <c r="B52" s="8" t="s">
        <v>8</v>
      </c>
      <c r="C52" s="19">
        <v>290</v>
      </c>
      <c r="D52" s="18">
        <v>5000</v>
      </c>
      <c r="E52" s="13">
        <v>800</v>
      </c>
      <c r="F52" s="13">
        <v>4000000</v>
      </c>
      <c r="G52" s="2" t="s">
        <v>32</v>
      </c>
    </row>
    <row r="53" spans="1:7" ht="14.25" customHeight="1" x14ac:dyDescent="0.35">
      <c r="A53" s="8">
        <v>44806</v>
      </c>
      <c r="B53" s="8" t="s">
        <v>9</v>
      </c>
      <c r="C53" s="19">
        <v>310</v>
      </c>
      <c r="D53" s="18">
        <v>1000</v>
      </c>
      <c r="E53" s="13">
        <v>1500</v>
      </c>
      <c r="F53" s="13">
        <v>1500000</v>
      </c>
      <c r="G53" s="2" t="s">
        <v>32</v>
      </c>
    </row>
    <row r="54" spans="1:7" ht="14.25" customHeight="1" x14ac:dyDescent="0.35">
      <c r="A54" s="8">
        <v>44806</v>
      </c>
      <c r="B54" s="8" t="s">
        <v>12</v>
      </c>
      <c r="C54" s="19">
        <v>350</v>
      </c>
      <c r="D54" s="18">
        <v>2000</v>
      </c>
      <c r="E54" s="13">
        <v>1500</v>
      </c>
      <c r="F54" s="13">
        <v>3000000</v>
      </c>
      <c r="G54" s="2" t="s">
        <v>32</v>
      </c>
    </row>
    <row r="55" spans="1:7" ht="14.25" customHeight="1" x14ac:dyDescent="0.35">
      <c r="A55" s="8">
        <v>44806</v>
      </c>
      <c r="B55" s="8" t="s">
        <v>14</v>
      </c>
      <c r="C55" s="16" t="s">
        <v>37</v>
      </c>
      <c r="D55" s="18">
        <v>1000</v>
      </c>
      <c r="E55" s="13">
        <v>500</v>
      </c>
      <c r="F55" s="13">
        <v>500000</v>
      </c>
      <c r="G55" s="2" t="s">
        <v>32</v>
      </c>
    </row>
    <row r="56" spans="1:7" ht="14.25" customHeight="1" x14ac:dyDescent="0.35">
      <c r="A56" s="8">
        <v>44805</v>
      </c>
      <c r="B56" s="8" t="s">
        <v>24</v>
      </c>
      <c r="C56" s="19">
        <v>295</v>
      </c>
      <c r="D56" s="18">
        <v>1000</v>
      </c>
      <c r="E56" s="13">
        <v>1900</v>
      </c>
      <c r="F56" s="13">
        <v>1900000</v>
      </c>
      <c r="G56" s="2" t="s">
        <v>32</v>
      </c>
    </row>
    <row r="57" spans="1:7" ht="14.25" customHeight="1" x14ac:dyDescent="0.35">
      <c r="A57" s="8">
        <v>44804</v>
      </c>
      <c r="B57" s="8" t="s">
        <v>14</v>
      </c>
      <c r="C57" s="16">
        <v>100</v>
      </c>
      <c r="D57" s="18">
        <v>1000</v>
      </c>
      <c r="E57" s="13">
        <v>400</v>
      </c>
      <c r="F57" s="13">
        <v>400000</v>
      </c>
      <c r="G57" s="2" t="s">
        <v>33</v>
      </c>
    </row>
    <row r="58" spans="1:7" ht="14.25" customHeight="1" x14ac:dyDescent="0.35">
      <c r="A58" s="8">
        <v>44804</v>
      </c>
      <c r="B58" s="8" t="s">
        <v>23</v>
      </c>
      <c r="C58" s="19">
        <v>250</v>
      </c>
      <c r="D58" s="18">
        <v>1000</v>
      </c>
      <c r="E58" s="13">
        <v>1600</v>
      </c>
      <c r="F58" s="13">
        <v>1600000</v>
      </c>
      <c r="G58" s="2" t="s">
        <v>34</v>
      </c>
    </row>
    <row r="59" spans="1:7" ht="14.25" customHeight="1" x14ac:dyDescent="0.35">
      <c r="A59" s="8">
        <v>44803</v>
      </c>
      <c r="B59" s="8" t="s">
        <v>22</v>
      </c>
      <c r="C59" s="16">
        <v>270</v>
      </c>
      <c r="D59" s="18">
        <v>3000</v>
      </c>
      <c r="E59" s="13">
        <v>1300</v>
      </c>
      <c r="F59" s="13">
        <v>3900000</v>
      </c>
      <c r="G59" s="2" t="s">
        <v>32</v>
      </c>
    </row>
    <row r="60" spans="1:7" ht="14.25" customHeight="1" x14ac:dyDescent="0.35">
      <c r="A60" s="8">
        <v>44803</v>
      </c>
      <c r="B60" s="8" t="s">
        <v>21</v>
      </c>
      <c r="C60" s="16">
        <v>300</v>
      </c>
      <c r="D60" s="18">
        <v>1000</v>
      </c>
      <c r="E60" s="13">
        <v>1700</v>
      </c>
      <c r="F60" s="13">
        <v>1700000</v>
      </c>
      <c r="G60" s="2" t="s">
        <v>32</v>
      </c>
    </row>
    <row r="61" spans="1:7" ht="14.25" customHeight="1" x14ac:dyDescent="0.35">
      <c r="A61" s="8">
        <v>44803</v>
      </c>
      <c r="B61" s="8" t="s">
        <v>9</v>
      </c>
      <c r="C61" s="16">
        <v>310</v>
      </c>
      <c r="D61" s="18">
        <v>1500</v>
      </c>
      <c r="E61" s="13">
        <v>1900</v>
      </c>
      <c r="F61" s="13">
        <v>2850000</v>
      </c>
      <c r="G61" s="2" t="s">
        <v>32</v>
      </c>
    </row>
    <row r="62" spans="1:7" ht="14.25" customHeight="1" x14ac:dyDescent="0.35">
      <c r="A62" s="8">
        <v>44803</v>
      </c>
      <c r="B62" s="8" t="s">
        <v>9</v>
      </c>
      <c r="C62" s="19">
        <v>310</v>
      </c>
      <c r="D62" s="18">
        <v>1000</v>
      </c>
      <c r="E62" s="13">
        <v>2200</v>
      </c>
      <c r="F62" s="13">
        <v>2200000</v>
      </c>
      <c r="G62" s="2" t="s">
        <v>34</v>
      </c>
    </row>
    <row r="63" spans="1:7" ht="14.25" customHeight="1" x14ac:dyDescent="0.35">
      <c r="A63" s="8">
        <v>44802</v>
      </c>
      <c r="B63" s="8" t="s">
        <v>15</v>
      </c>
      <c r="C63" s="16">
        <v>230</v>
      </c>
      <c r="D63" s="18">
        <v>2000</v>
      </c>
      <c r="E63" s="13">
        <v>1450</v>
      </c>
      <c r="F63" s="13">
        <v>2900000</v>
      </c>
      <c r="G63" s="2" t="s">
        <v>32</v>
      </c>
    </row>
    <row r="64" spans="1:7" ht="14.25" customHeight="1" x14ac:dyDescent="0.35">
      <c r="A64" s="8">
        <v>44802</v>
      </c>
      <c r="B64" s="8" t="s">
        <v>9</v>
      </c>
      <c r="C64" s="16">
        <v>310</v>
      </c>
      <c r="D64" s="18">
        <v>1000</v>
      </c>
      <c r="E64" s="13">
        <v>1550</v>
      </c>
      <c r="F64" s="13">
        <v>1550000</v>
      </c>
      <c r="G64" s="2" t="s">
        <v>32</v>
      </c>
    </row>
    <row r="65" spans="1:7" ht="14.25" customHeight="1" x14ac:dyDescent="0.35">
      <c r="A65" s="8">
        <v>44802</v>
      </c>
      <c r="B65" s="8" t="s">
        <v>9</v>
      </c>
      <c r="C65" s="16">
        <v>310</v>
      </c>
      <c r="D65" s="18">
        <v>1000</v>
      </c>
      <c r="E65" s="13">
        <v>1800</v>
      </c>
      <c r="F65" s="13">
        <v>1800000</v>
      </c>
      <c r="G65" s="2" t="s">
        <v>32</v>
      </c>
    </row>
    <row r="66" spans="1:7" ht="14.25" customHeight="1" x14ac:dyDescent="0.35">
      <c r="A66" s="8">
        <v>44795</v>
      </c>
      <c r="B66" s="8" t="s">
        <v>19</v>
      </c>
      <c r="C66" s="16">
        <v>260</v>
      </c>
      <c r="D66" s="18">
        <v>3500</v>
      </c>
      <c r="E66" s="13">
        <v>1650</v>
      </c>
      <c r="F66" s="13">
        <v>5775000</v>
      </c>
      <c r="G66" s="2" t="s">
        <v>32</v>
      </c>
    </row>
    <row r="67" spans="1:7" ht="14.25" customHeight="1" x14ac:dyDescent="0.35">
      <c r="A67" s="8">
        <v>44795</v>
      </c>
      <c r="B67" s="8" t="s">
        <v>16</v>
      </c>
      <c r="C67" s="16">
        <v>290</v>
      </c>
      <c r="D67" s="18">
        <v>3500</v>
      </c>
      <c r="E67" s="13">
        <v>1300</v>
      </c>
      <c r="F67" s="13">
        <v>4550000</v>
      </c>
      <c r="G67" s="2" t="s">
        <v>34</v>
      </c>
    </row>
    <row r="68" spans="1:7" ht="14.25" customHeight="1" x14ac:dyDescent="0.35">
      <c r="A68" s="8">
        <v>44795</v>
      </c>
      <c r="B68" s="8" t="s">
        <v>16</v>
      </c>
      <c r="C68" s="16">
        <v>290</v>
      </c>
      <c r="D68" s="18">
        <v>2000</v>
      </c>
      <c r="E68" s="13">
        <v>1200</v>
      </c>
      <c r="F68" s="13">
        <v>2400000</v>
      </c>
      <c r="G68" s="2" t="s">
        <v>34</v>
      </c>
    </row>
    <row r="69" spans="1:7" ht="14.25" customHeight="1" x14ac:dyDescent="0.35">
      <c r="A69" s="8">
        <v>44795</v>
      </c>
      <c r="B69" s="8" t="s">
        <v>16</v>
      </c>
      <c r="C69" s="16">
        <v>290</v>
      </c>
      <c r="D69" s="18">
        <v>2000</v>
      </c>
      <c r="E69" s="13">
        <v>1850</v>
      </c>
      <c r="F69" s="13">
        <v>3700000</v>
      </c>
      <c r="G69" s="2" t="s">
        <v>32</v>
      </c>
    </row>
    <row r="70" spans="1:7" ht="14.25" customHeight="1" x14ac:dyDescent="0.35">
      <c r="A70" s="8">
        <v>44795</v>
      </c>
      <c r="B70" s="8" t="s">
        <v>9</v>
      </c>
      <c r="C70" s="16">
        <v>310</v>
      </c>
      <c r="D70" s="18">
        <v>2000</v>
      </c>
      <c r="E70" s="13">
        <v>1710</v>
      </c>
      <c r="F70" s="13">
        <v>3420000</v>
      </c>
      <c r="G70" s="2" t="s">
        <v>32</v>
      </c>
    </row>
    <row r="71" spans="1:7" ht="14.25" customHeight="1" x14ac:dyDescent="0.35">
      <c r="A71" s="8">
        <v>44795</v>
      </c>
      <c r="B71" s="8" t="s">
        <v>9</v>
      </c>
      <c r="C71" s="16">
        <v>310</v>
      </c>
      <c r="D71" s="18">
        <v>1000</v>
      </c>
      <c r="E71" s="13">
        <v>1900</v>
      </c>
      <c r="F71" s="13">
        <v>1900000</v>
      </c>
      <c r="G71" s="2" t="s">
        <v>32</v>
      </c>
    </row>
    <row r="72" spans="1:7" ht="14.25" customHeight="1" x14ac:dyDescent="0.35">
      <c r="A72" s="8">
        <v>44795</v>
      </c>
      <c r="B72" s="8" t="s">
        <v>9</v>
      </c>
      <c r="C72" s="16">
        <v>310</v>
      </c>
      <c r="D72" s="18">
        <v>2000</v>
      </c>
      <c r="E72" s="13">
        <v>1800</v>
      </c>
      <c r="F72" s="13">
        <v>3600000</v>
      </c>
      <c r="G72" s="2" t="s">
        <v>32</v>
      </c>
    </row>
    <row r="73" spans="1:7" ht="14.25" customHeight="1" x14ac:dyDescent="0.35">
      <c r="A73" s="8">
        <v>44795</v>
      </c>
      <c r="B73" s="8" t="s">
        <v>20</v>
      </c>
      <c r="C73" s="16">
        <v>400</v>
      </c>
      <c r="D73" s="18">
        <v>1000</v>
      </c>
      <c r="E73" s="13">
        <v>2300</v>
      </c>
      <c r="F73" s="13">
        <v>2300000</v>
      </c>
      <c r="G73" s="2" t="s">
        <v>32</v>
      </c>
    </row>
    <row r="74" spans="1:7" ht="14.25" customHeight="1" x14ac:dyDescent="0.35">
      <c r="A74" s="8">
        <v>44791</v>
      </c>
      <c r="B74" s="8" t="s">
        <v>18</v>
      </c>
      <c r="C74" s="16">
        <v>150</v>
      </c>
      <c r="D74" s="18">
        <v>500</v>
      </c>
      <c r="E74" s="13">
        <v>900</v>
      </c>
      <c r="F74" s="13">
        <v>450000</v>
      </c>
      <c r="G74" s="2" t="s">
        <v>31</v>
      </c>
    </row>
    <row r="75" spans="1:7" ht="14.25" customHeight="1" x14ac:dyDescent="0.35">
      <c r="A75" s="8">
        <v>44791</v>
      </c>
      <c r="B75" s="8" t="s">
        <v>7</v>
      </c>
      <c r="C75" s="16">
        <v>245</v>
      </c>
      <c r="D75" s="18">
        <v>1000</v>
      </c>
      <c r="E75" s="13">
        <v>1800</v>
      </c>
      <c r="F75" s="13">
        <v>1800000</v>
      </c>
      <c r="G75" s="2" t="s">
        <v>31</v>
      </c>
    </row>
    <row r="76" spans="1:7" ht="14.25" customHeight="1" x14ac:dyDescent="0.35">
      <c r="A76" s="8">
        <v>44791</v>
      </c>
      <c r="B76" s="8" t="s">
        <v>17</v>
      </c>
      <c r="C76" s="16">
        <v>270</v>
      </c>
      <c r="D76" s="18">
        <v>500</v>
      </c>
      <c r="E76" s="13">
        <v>2200</v>
      </c>
      <c r="F76" s="13">
        <v>1100000</v>
      </c>
      <c r="G76" s="2" t="s">
        <v>31</v>
      </c>
    </row>
    <row r="77" spans="1:7" ht="14.25" customHeight="1" x14ac:dyDescent="0.35">
      <c r="A77" s="8">
        <v>44791</v>
      </c>
      <c r="B77" s="8" t="s">
        <v>16</v>
      </c>
      <c r="C77" s="16">
        <v>290</v>
      </c>
      <c r="D77" s="18">
        <v>1000</v>
      </c>
      <c r="E77" s="13">
        <v>975</v>
      </c>
      <c r="F77" s="13">
        <v>975000</v>
      </c>
      <c r="G77" s="2" t="s">
        <v>31</v>
      </c>
    </row>
    <row r="78" spans="1:7" ht="14.25" customHeight="1" x14ac:dyDescent="0.35">
      <c r="A78" s="8">
        <v>44789</v>
      </c>
      <c r="B78" s="8" t="s">
        <v>11</v>
      </c>
      <c r="C78" s="16">
        <v>130</v>
      </c>
      <c r="D78" s="18">
        <v>2000</v>
      </c>
      <c r="E78" s="13">
        <v>500</v>
      </c>
      <c r="F78" s="13">
        <v>1000000</v>
      </c>
      <c r="G78" s="2" t="s">
        <v>31</v>
      </c>
    </row>
    <row r="79" spans="1:7" ht="14.25" customHeight="1" x14ac:dyDescent="0.35">
      <c r="A79" s="8">
        <v>44789</v>
      </c>
      <c r="B79" s="8" t="s">
        <v>9</v>
      </c>
      <c r="C79" s="19">
        <v>310</v>
      </c>
      <c r="D79" s="18">
        <v>2000</v>
      </c>
      <c r="E79" s="13">
        <v>1750</v>
      </c>
      <c r="F79" s="13">
        <v>3500000</v>
      </c>
      <c r="G79" s="2" t="s">
        <v>31</v>
      </c>
    </row>
    <row r="80" spans="1:7" ht="14.25" customHeight="1" x14ac:dyDescent="0.35">
      <c r="A80" s="8">
        <v>44789</v>
      </c>
      <c r="B80" s="8" t="s">
        <v>12</v>
      </c>
      <c r="C80" s="19">
        <v>350</v>
      </c>
      <c r="D80" s="18">
        <v>2000</v>
      </c>
      <c r="E80" s="13">
        <v>1975</v>
      </c>
      <c r="F80" s="13">
        <v>3950000</v>
      </c>
      <c r="G80" s="2" t="s">
        <v>31</v>
      </c>
    </row>
    <row r="81" spans="1:7" ht="14.25" customHeight="1" x14ac:dyDescent="0.35">
      <c r="A81" s="8">
        <v>44788</v>
      </c>
      <c r="B81" s="8" t="s">
        <v>15</v>
      </c>
      <c r="C81" s="19">
        <v>230</v>
      </c>
      <c r="D81" s="18">
        <v>1500</v>
      </c>
      <c r="E81" s="13">
        <v>1100</v>
      </c>
      <c r="F81" s="13">
        <v>1650000</v>
      </c>
      <c r="G81" s="2" t="s">
        <v>32</v>
      </c>
    </row>
    <row r="82" spans="1:7" ht="14.25" customHeight="1" x14ac:dyDescent="0.35">
      <c r="A82" s="8">
        <v>44788</v>
      </c>
      <c r="B82" s="8" t="s">
        <v>15</v>
      </c>
      <c r="C82" s="19">
        <v>230</v>
      </c>
      <c r="D82" s="18">
        <v>3000</v>
      </c>
      <c r="E82" s="13">
        <v>950</v>
      </c>
      <c r="F82" s="13">
        <v>2850000</v>
      </c>
      <c r="G82" s="2" t="s">
        <v>32</v>
      </c>
    </row>
    <row r="83" spans="1:7" ht="14.25" customHeight="1" x14ac:dyDescent="0.35">
      <c r="A83" s="8">
        <v>44788</v>
      </c>
      <c r="B83" s="8" t="s">
        <v>36</v>
      </c>
      <c r="C83" s="19">
        <v>260</v>
      </c>
      <c r="D83" s="18">
        <v>2000</v>
      </c>
      <c r="E83" s="13">
        <v>2300</v>
      </c>
      <c r="F83" s="13">
        <v>4600000</v>
      </c>
      <c r="G83" s="2" t="s">
        <v>32</v>
      </c>
    </row>
    <row r="84" spans="1:7" ht="14.25" customHeight="1" x14ac:dyDescent="0.35">
      <c r="A84" s="8">
        <v>44788</v>
      </c>
      <c r="B84" s="8" t="s">
        <v>38</v>
      </c>
      <c r="C84" s="19">
        <v>260</v>
      </c>
      <c r="D84" s="18">
        <v>1000</v>
      </c>
      <c r="E84" s="13">
        <v>2200</v>
      </c>
      <c r="F84" s="13">
        <v>2200000</v>
      </c>
      <c r="G84" s="2" t="s">
        <v>34</v>
      </c>
    </row>
    <row r="85" spans="1:7" ht="14.25" customHeight="1" x14ac:dyDescent="0.35">
      <c r="A85" s="8">
        <v>44788</v>
      </c>
      <c r="B85" s="8" t="s">
        <v>17</v>
      </c>
      <c r="C85" s="19">
        <v>270</v>
      </c>
      <c r="D85" s="18">
        <v>1000</v>
      </c>
      <c r="E85" s="13">
        <v>1900</v>
      </c>
      <c r="F85" s="13">
        <v>1900000</v>
      </c>
      <c r="G85" s="2" t="s">
        <v>31</v>
      </c>
    </row>
    <row r="86" spans="1:7" ht="14.25" customHeight="1" x14ac:dyDescent="0.35">
      <c r="A86" s="8">
        <v>44788</v>
      </c>
      <c r="B86" s="8" t="s">
        <v>16</v>
      </c>
      <c r="C86" s="19">
        <v>290</v>
      </c>
      <c r="D86" s="18">
        <v>1000</v>
      </c>
      <c r="E86" s="13">
        <v>2200</v>
      </c>
      <c r="F86" s="13">
        <v>2200000</v>
      </c>
      <c r="G86" s="2" t="s">
        <v>33</v>
      </c>
    </row>
    <row r="87" spans="1:7" ht="14.25" customHeight="1" x14ac:dyDescent="0.35">
      <c r="A87" s="8">
        <v>44788</v>
      </c>
      <c r="B87" s="8" t="s">
        <v>16</v>
      </c>
      <c r="C87" s="19">
        <v>290</v>
      </c>
      <c r="D87" s="18">
        <v>3000</v>
      </c>
      <c r="E87" s="13">
        <v>875</v>
      </c>
      <c r="F87" s="13">
        <v>2625000</v>
      </c>
      <c r="G87" s="2" t="s">
        <v>32</v>
      </c>
    </row>
    <row r="88" spans="1:7" ht="14.25" customHeight="1" x14ac:dyDescent="0.35">
      <c r="A88" s="8">
        <v>44788</v>
      </c>
      <c r="B88" s="8" t="s">
        <v>9</v>
      </c>
      <c r="C88" s="19">
        <v>310</v>
      </c>
      <c r="D88" s="18">
        <v>2000</v>
      </c>
      <c r="E88" s="13">
        <v>1600</v>
      </c>
      <c r="F88" s="13">
        <v>3200000</v>
      </c>
      <c r="G88" s="2" t="s">
        <v>32</v>
      </c>
    </row>
    <row r="89" spans="1:7" ht="14.25" customHeight="1" x14ac:dyDescent="0.35">
      <c r="A89" s="8">
        <v>44786</v>
      </c>
      <c r="B89" s="8" t="s">
        <v>14</v>
      </c>
      <c r="C89" s="16">
        <v>100</v>
      </c>
      <c r="D89" s="18">
        <v>1500</v>
      </c>
      <c r="E89" s="13">
        <v>300</v>
      </c>
      <c r="F89" s="13">
        <v>450000</v>
      </c>
      <c r="G89" s="2" t="s">
        <v>32</v>
      </c>
    </row>
    <row r="90" spans="1:7" ht="14.25" customHeight="1" x14ac:dyDescent="0.35">
      <c r="A90" s="8">
        <v>44785</v>
      </c>
      <c r="B90" s="8" t="s">
        <v>10</v>
      </c>
      <c r="C90" s="19">
        <v>270</v>
      </c>
      <c r="D90" s="18">
        <v>1000</v>
      </c>
      <c r="E90" s="13">
        <v>2000</v>
      </c>
      <c r="F90" s="13">
        <v>2000000</v>
      </c>
      <c r="G90" s="2" t="s">
        <v>31</v>
      </c>
    </row>
    <row r="91" spans="1:7" ht="14.25" customHeight="1" x14ac:dyDescent="0.35">
      <c r="A91" s="8">
        <v>44785</v>
      </c>
      <c r="B91" s="8" t="s">
        <v>8</v>
      </c>
      <c r="C91" s="19">
        <v>290</v>
      </c>
      <c r="D91" s="18">
        <v>3000</v>
      </c>
      <c r="E91" s="13">
        <v>800</v>
      </c>
      <c r="F91" s="13">
        <v>2400000</v>
      </c>
      <c r="G91" s="2" t="s">
        <v>32</v>
      </c>
    </row>
    <row r="92" spans="1:7" ht="14.25" customHeight="1" x14ac:dyDescent="0.35">
      <c r="A92" s="8">
        <v>44785</v>
      </c>
      <c r="B92" s="8" t="s">
        <v>8</v>
      </c>
      <c r="C92" s="19">
        <v>290</v>
      </c>
      <c r="D92" s="18">
        <v>500</v>
      </c>
      <c r="E92" s="13">
        <v>600</v>
      </c>
      <c r="F92" s="13">
        <v>300000</v>
      </c>
      <c r="G92" s="2" t="s">
        <v>31</v>
      </c>
    </row>
    <row r="93" spans="1:7" ht="14.25" customHeight="1" x14ac:dyDescent="0.35">
      <c r="A93" s="8">
        <v>44785</v>
      </c>
      <c r="B93" s="8" t="s">
        <v>12</v>
      </c>
      <c r="C93" s="19">
        <v>350</v>
      </c>
      <c r="D93" s="18">
        <v>1000</v>
      </c>
      <c r="E93" s="13">
        <v>2200</v>
      </c>
      <c r="F93" s="13">
        <v>2200000</v>
      </c>
      <c r="G93" s="2" t="s">
        <v>32</v>
      </c>
    </row>
    <row r="94" spans="1:7" ht="14.25" customHeight="1" x14ac:dyDescent="0.35">
      <c r="A94" s="8">
        <v>44785</v>
      </c>
      <c r="B94" s="8" t="s">
        <v>13</v>
      </c>
      <c r="C94" s="16">
        <v>500</v>
      </c>
      <c r="D94" s="18">
        <v>1000</v>
      </c>
      <c r="E94" s="13">
        <v>1200</v>
      </c>
      <c r="F94" s="13">
        <v>1200000</v>
      </c>
      <c r="G94" s="2" t="s">
        <v>33</v>
      </c>
    </row>
    <row r="95" spans="1:7" ht="14.25" customHeight="1" x14ac:dyDescent="0.35">
      <c r="A95" s="8">
        <v>44784</v>
      </c>
      <c r="B95" s="8" t="s">
        <v>8</v>
      </c>
      <c r="C95" s="19">
        <v>290</v>
      </c>
      <c r="D95" s="18">
        <v>1000</v>
      </c>
      <c r="E95" s="13">
        <v>850</v>
      </c>
      <c r="F95" s="13">
        <v>850000</v>
      </c>
      <c r="G95" s="2" t="s">
        <v>32</v>
      </c>
    </row>
    <row r="96" spans="1:7" ht="14.25" customHeight="1" x14ac:dyDescent="0.35">
      <c r="A96" s="8">
        <v>44784</v>
      </c>
      <c r="B96" s="8" t="s">
        <v>9</v>
      </c>
      <c r="C96" s="19">
        <v>310</v>
      </c>
      <c r="D96" s="18">
        <v>2000</v>
      </c>
      <c r="E96" s="13">
        <v>1300</v>
      </c>
      <c r="F96" s="13">
        <v>2600000</v>
      </c>
      <c r="G96" s="2" t="s">
        <v>32</v>
      </c>
    </row>
    <row r="97" spans="1:7" ht="14.25" customHeight="1" x14ac:dyDescent="0.35">
      <c r="A97" s="8">
        <v>44784</v>
      </c>
      <c r="B97" s="8" t="s">
        <v>12</v>
      </c>
      <c r="C97" s="19">
        <v>350</v>
      </c>
      <c r="D97" s="18">
        <v>500</v>
      </c>
      <c r="E97" s="13">
        <v>1800</v>
      </c>
      <c r="F97" s="13">
        <v>900000</v>
      </c>
      <c r="G97" s="2" t="s">
        <v>32</v>
      </c>
    </row>
    <row r="98" spans="1:7" ht="14.25" customHeight="1" x14ac:dyDescent="0.35">
      <c r="A98" s="8">
        <v>44784</v>
      </c>
      <c r="B98" s="8" t="s">
        <v>12</v>
      </c>
      <c r="C98" s="19">
        <v>350</v>
      </c>
      <c r="D98" s="18">
        <v>500</v>
      </c>
      <c r="E98" s="13">
        <v>1800</v>
      </c>
      <c r="F98" s="13">
        <v>900000</v>
      </c>
      <c r="G98" s="2" t="s">
        <v>32</v>
      </c>
    </row>
    <row r="99" spans="1:7" ht="14.25" customHeight="1" x14ac:dyDescent="0.35">
      <c r="A99" s="8">
        <v>44783</v>
      </c>
      <c r="B99" s="8" t="s">
        <v>10</v>
      </c>
      <c r="C99" s="19">
        <v>270</v>
      </c>
      <c r="D99" s="18">
        <v>1000</v>
      </c>
      <c r="E99" s="13">
        <v>2000</v>
      </c>
      <c r="F99" s="13">
        <v>2000000</v>
      </c>
      <c r="G99" s="2" t="s">
        <v>33</v>
      </c>
    </row>
    <row r="100" spans="1:7" ht="14.25" customHeight="1" x14ac:dyDescent="0.35">
      <c r="A100" s="8">
        <v>44783</v>
      </c>
      <c r="B100" s="8" t="s">
        <v>9</v>
      </c>
      <c r="C100" s="19">
        <v>310</v>
      </c>
      <c r="D100" s="18">
        <v>500</v>
      </c>
      <c r="E100" s="13">
        <v>1600</v>
      </c>
      <c r="F100" s="13">
        <v>800000</v>
      </c>
      <c r="G100" s="2" t="s">
        <v>34</v>
      </c>
    </row>
    <row r="101" spans="1:7" ht="14.25" customHeight="1" x14ac:dyDescent="0.35">
      <c r="A101" s="8">
        <v>44782</v>
      </c>
      <c r="B101" s="8" t="s">
        <v>11</v>
      </c>
      <c r="C101" s="19">
        <v>130</v>
      </c>
      <c r="D101" s="18">
        <v>1000</v>
      </c>
      <c r="E101" s="13">
        <v>1000</v>
      </c>
      <c r="F101" s="13">
        <v>1000000</v>
      </c>
      <c r="G101" s="2" t="s">
        <v>31</v>
      </c>
    </row>
    <row r="102" spans="1:7" ht="14.25" customHeight="1" x14ac:dyDescent="0.35">
      <c r="A102" s="8">
        <v>44782</v>
      </c>
      <c r="B102" s="8" t="s">
        <v>12</v>
      </c>
      <c r="C102" s="19">
        <v>350</v>
      </c>
      <c r="D102" s="18">
        <v>500</v>
      </c>
      <c r="E102" s="13">
        <v>1800</v>
      </c>
      <c r="F102" s="13">
        <v>900000</v>
      </c>
      <c r="G102" s="2" t="s">
        <v>32</v>
      </c>
    </row>
    <row r="103" spans="1:7" ht="14.25" customHeight="1" x14ac:dyDescent="0.35">
      <c r="A103" s="8">
        <v>44781</v>
      </c>
      <c r="B103" s="8" t="s">
        <v>10</v>
      </c>
      <c r="C103" s="19">
        <v>270</v>
      </c>
      <c r="D103" s="18">
        <v>1000</v>
      </c>
      <c r="E103" s="13">
        <v>1700</v>
      </c>
      <c r="F103" s="13">
        <v>1700000</v>
      </c>
      <c r="G103" s="2" t="s">
        <v>31</v>
      </c>
    </row>
    <row r="104" spans="1:7" ht="14.25" customHeight="1" x14ac:dyDescent="0.35">
      <c r="A104" s="8">
        <v>44781</v>
      </c>
      <c r="B104" s="8" t="s">
        <v>10</v>
      </c>
      <c r="C104" s="19">
        <v>270</v>
      </c>
      <c r="D104" s="18">
        <v>1000</v>
      </c>
      <c r="E104" s="13">
        <v>1700</v>
      </c>
      <c r="F104" s="13">
        <v>1700000</v>
      </c>
      <c r="G104" s="2" t="s">
        <v>31</v>
      </c>
    </row>
    <row r="105" spans="1:7" ht="14.25" customHeight="1" x14ac:dyDescent="0.35">
      <c r="A105" s="8">
        <v>44781</v>
      </c>
      <c r="B105" s="8" t="s">
        <v>9</v>
      </c>
      <c r="C105" s="19">
        <v>310</v>
      </c>
      <c r="D105" s="18">
        <v>500</v>
      </c>
      <c r="E105" s="13">
        <f>F105/D105</f>
        <v>1900</v>
      </c>
      <c r="F105" s="13">
        <v>950000</v>
      </c>
      <c r="G105" s="2" t="s">
        <v>31</v>
      </c>
    </row>
    <row r="106" spans="1:7" ht="14.25" customHeight="1" x14ac:dyDescent="0.35">
      <c r="A106" s="8">
        <v>44778</v>
      </c>
      <c r="B106" s="8" t="s">
        <v>7</v>
      </c>
      <c r="C106" s="19">
        <v>245</v>
      </c>
      <c r="D106" s="18">
        <v>1000</v>
      </c>
      <c r="E106" s="13">
        <v>1900</v>
      </c>
      <c r="F106" s="13">
        <v>1900000</v>
      </c>
      <c r="G106" s="2" t="s">
        <v>32</v>
      </c>
    </row>
    <row r="107" spans="1:7" ht="14.25" customHeight="1" x14ac:dyDescent="0.35">
      <c r="A107" s="8">
        <v>44778</v>
      </c>
      <c r="B107" s="8" t="s">
        <v>6</v>
      </c>
      <c r="C107" s="19">
        <v>260</v>
      </c>
      <c r="D107" s="18">
        <v>1000</v>
      </c>
      <c r="E107" s="13">
        <v>1800</v>
      </c>
      <c r="F107" s="13">
        <v>1800000</v>
      </c>
      <c r="G107" s="2" t="s">
        <v>32</v>
      </c>
    </row>
    <row r="108" spans="1:7" ht="14.25" customHeight="1" x14ac:dyDescent="0.35">
      <c r="A108" s="8">
        <v>44778</v>
      </c>
      <c r="B108" s="8" t="s">
        <v>8</v>
      </c>
      <c r="C108" s="19">
        <v>290</v>
      </c>
      <c r="D108" s="18">
        <v>5000</v>
      </c>
      <c r="E108" s="13">
        <v>750</v>
      </c>
      <c r="F108" s="13">
        <f>E108*D108</f>
        <v>3750000</v>
      </c>
      <c r="G108" s="2" t="s">
        <v>32</v>
      </c>
    </row>
    <row r="109" spans="1:7" ht="14.25" customHeight="1" x14ac:dyDescent="0.35">
      <c r="A109" s="8">
        <v>44778</v>
      </c>
      <c r="B109" s="8" t="s">
        <v>8</v>
      </c>
      <c r="C109" s="19">
        <v>290</v>
      </c>
      <c r="D109" s="18">
        <v>1000</v>
      </c>
      <c r="E109" s="13">
        <v>1200</v>
      </c>
      <c r="F109" s="13">
        <v>1200000</v>
      </c>
      <c r="G109" s="2" t="s">
        <v>33</v>
      </c>
    </row>
    <row r="110" spans="1:7" ht="14.25" customHeight="1" x14ac:dyDescent="0.35">
      <c r="A110" s="8">
        <v>44750</v>
      </c>
      <c r="B110" s="8" t="s">
        <v>9</v>
      </c>
      <c r="C110" s="19">
        <v>310</v>
      </c>
      <c r="D110" s="18">
        <v>1000</v>
      </c>
      <c r="E110" s="13">
        <v>1550</v>
      </c>
      <c r="F110" s="13">
        <v>1550000</v>
      </c>
      <c r="G110" s="2" t="s">
        <v>32</v>
      </c>
    </row>
    <row r="111" spans="1:7" ht="14.25" customHeight="1" x14ac:dyDescent="0.35"/>
    <row r="112" spans="1:7"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Perhatian" error="Anda mengisi status di luar ketentuan" promptTitle="Status Transaksi" prompt="Pilih status transaksi berdasarkan kondisinya" xr:uid="{7E7B337B-D549-4114-BEC3-F77E2E88E9B5}">
          <x14:formula1>
            <xm:f>Helper!$B$3:$B$6</xm:f>
          </x14:formula1>
          <xm:sqref>G2:G110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118CB-A844-4A9E-80E1-84B575B7BBAD}">
  <dimension ref="A1:O999"/>
  <sheetViews>
    <sheetView workbookViewId="0">
      <selection activeCell="I9" sqref="I9"/>
    </sheetView>
  </sheetViews>
  <sheetFormatPr defaultColWidth="14.453125" defaultRowHeight="15" customHeight="1" x14ac:dyDescent="0.35"/>
  <cols>
    <col min="1" max="1" width="12.26953125" style="9" bestFit="1" customWidth="1"/>
    <col min="2" max="2" width="17.08984375" style="9" bestFit="1" customWidth="1"/>
    <col min="3" max="3" width="12.54296875" style="17" bestFit="1" customWidth="1"/>
    <col min="4" max="4" width="17.08984375" style="11" bestFit="1" customWidth="1"/>
    <col min="5" max="5" width="11.7265625" style="14" bestFit="1" customWidth="1"/>
    <col min="6" max="6" width="14.90625" style="14" bestFit="1" customWidth="1"/>
    <col min="7" max="7" width="20.81640625" bestFit="1" customWidth="1"/>
    <col min="8" max="8" width="8.7265625" customWidth="1"/>
    <col min="9" max="9" width="17.90625" customWidth="1"/>
    <col min="10" max="10" width="14.90625" bestFit="1" customWidth="1"/>
    <col min="11" max="14" width="8.7265625" customWidth="1"/>
    <col min="15" max="15" width="13.453125" bestFit="1" customWidth="1"/>
    <col min="16" max="27" width="8.7265625" customWidth="1"/>
  </cols>
  <sheetData>
    <row r="1" spans="1:12" ht="14.25" customHeight="1" x14ac:dyDescent="0.35">
      <c r="A1" s="7" t="s">
        <v>0</v>
      </c>
      <c r="B1" s="7" t="s">
        <v>1</v>
      </c>
      <c r="C1" s="10" t="s">
        <v>35</v>
      </c>
      <c r="D1" s="10" t="s">
        <v>2</v>
      </c>
      <c r="E1" s="12" t="s">
        <v>3</v>
      </c>
      <c r="F1" s="12" t="s">
        <v>4</v>
      </c>
      <c r="G1" s="1" t="s">
        <v>5</v>
      </c>
      <c r="I1" s="39" t="s">
        <v>39</v>
      </c>
      <c r="J1" s="39"/>
      <c r="K1" s="39"/>
      <c r="L1" s="39"/>
    </row>
    <row r="2" spans="1:12" ht="14.25" customHeight="1" x14ac:dyDescent="0.35">
      <c r="A2" s="8">
        <v>44828</v>
      </c>
      <c r="B2" s="8" t="s">
        <v>10</v>
      </c>
      <c r="C2" s="19">
        <v>270</v>
      </c>
      <c r="D2" s="18">
        <v>2000</v>
      </c>
      <c r="E2" s="13">
        <v>950</v>
      </c>
      <c r="F2" s="13">
        <v>1900000</v>
      </c>
      <c r="G2" s="2" t="s">
        <v>31</v>
      </c>
      <c r="I2" s="22" t="s">
        <v>1</v>
      </c>
      <c r="J2" s="22" t="s">
        <v>2</v>
      </c>
      <c r="K2" s="23" t="s">
        <v>3</v>
      </c>
      <c r="L2" s="23" t="s">
        <v>4</v>
      </c>
    </row>
    <row r="3" spans="1:12" ht="14.25" customHeight="1" x14ac:dyDescent="0.35">
      <c r="A3" s="8">
        <v>44828</v>
      </c>
      <c r="B3" s="8" t="s">
        <v>8</v>
      </c>
      <c r="C3" s="19">
        <v>290</v>
      </c>
      <c r="D3" s="18">
        <v>2000</v>
      </c>
      <c r="E3" s="13">
        <v>1850</v>
      </c>
      <c r="F3" s="13">
        <v>3700000</v>
      </c>
      <c r="G3" s="2" t="s">
        <v>31</v>
      </c>
      <c r="I3" s="21" t="s">
        <v>8</v>
      </c>
      <c r="J3" s="20"/>
      <c r="K3" s="21" t="s">
        <v>76</v>
      </c>
      <c r="L3" s="20"/>
    </row>
    <row r="4" spans="1:12" ht="14.25" customHeight="1" x14ac:dyDescent="0.35">
      <c r="A4" s="8">
        <v>44828</v>
      </c>
      <c r="B4" s="8" t="s">
        <v>8</v>
      </c>
      <c r="C4" s="19">
        <v>290</v>
      </c>
      <c r="D4" s="18">
        <v>2000</v>
      </c>
      <c r="E4" s="13">
        <v>900</v>
      </c>
      <c r="F4" s="13">
        <v>1800000</v>
      </c>
      <c r="G4" s="2" t="s">
        <v>32</v>
      </c>
      <c r="I4" s="20"/>
      <c r="J4" s="21" t="s">
        <v>78</v>
      </c>
      <c r="K4" s="20"/>
      <c r="L4" s="20"/>
    </row>
    <row r="5" spans="1:12" ht="14.25" customHeight="1" x14ac:dyDescent="0.35">
      <c r="A5" s="8">
        <v>44828</v>
      </c>
      <c r="B5" s="8" t="s">
        <v>8</v>
      </c>
      <c r="C5" s="19">
        <v>290</v>
      </c>
      <c r="D5" s="18">
        <v>3000</v>
      </c>
      <c r="E5" s="13">
        <v>1000</v>
      </c>
      <c r="F5" s="13">
        <v>3000000</v>
      </c>
      <c r="G5" s="2" t="s">
        <v>34</v>
      </c>
    </row>
    <row r="6" spans="1:12" ht="14.25" customHeight="1" x14ac:dyDescent="0.35">
      <c r="A6" s="8">
        <v>44828</v>
      </c>
      <c r="B6" s="8" t="s">
        <v>9</v>
      </c>
      <c r="C6" s="19">
        <v>310</v>
      </c>
      <c r="D6" s="18">
        <v>1000</v>
      </c>
      <c r="E6" s="13">
        <v>1900</v>
      </c>
      <c r="F6" s="13">
        <v>1900000</v>
      </c>
      <c r="G6" s="2" t="s">
        <v>34</v>
      </c>
    </row>
    <row r="7" spans="1:12" ht="14.25" customHeight="1" x14ac:dyDescent="0.35">
      <c r="A7" s="8">
        <v>44828</v>
      </c>
      <c r="B7" s="8" t="s">
        <v>9</v>
      </c>
      <c r="C7" s="19">
        <v>310</v>
      </c>
      <c r="D7" s="18">
        <v>1000</v>
      </c>
      <c r="E7" s="13">
        <v>1900</v>
      </c>
      <c r="F7" s="13">
        <v>1900000</v>
      </c>
      <c r="G7" s="2" t="s">
        <v>34</v>
      </c>
      <c r="I7" s="39" t="s">
        <v>61</v>
      </c>
      <c r="J7" s="39"/>
      <c r="K7" s="39"/>
    </row>
    <row r="8" spans="1:12" ht="14.25" customHeight="1" x14ac:dyDescent="0.35">
      <c r="A8" s="8">
        <v>44828</v>
      </c>
      <c r="B8" s="8" t="s">
        <v>9</v>
      </c>
      <c r="C8" s="19">
        <v>310</v>
      </c>
      <c r="D8" s="18">
        <v>1000</v>
      </c>
      <c r="E8" s="13">
        <v>2200</v>
      </c>
      <c r="F8" s="13">
        <v>2200000</v>
      </c>
      <c r="G8" s="2" t="s">
        <v>34</v>
      </c>
      <c r="I8" s="29" t="s">
        <v>62</v>
      </c>
      <c r="J8" s="34">
        <f>AVERAGE(F2:F110)</f>
        <v>2326238.5321100918</v>
      </c>
      <c r="K8" s="34"/>
    </row>
    <row r="9" spans="1:12" ht="14.25" customHeight="1" x14ac:dyDescent="0.35">
      <c r="A9" s="8">
        <v>44828</v>
      </c>
      <c r="B9" s="8" t="s">
        <v>9</v>
      </c>
      <c r="C9" s="19">
        <v>310</v>
      </c>
      <c r="D9" s="18">
        <v>1000</v>
      </c>
      <c r="E9" s="13">
        <v>1550</v>
      </c>
      <c r="F9" s="13">
        <v>1550000</v>
      </c>
      <c r="G9" s="2" t="s">
        <v>31</v>
      </c>
      <c r="I9" s="29" t="s">
        <v>63</v>
      </c>
      <c r="J9" s="34">
        <f>MEDIAN(F:F)</f>
        <v>1900000</v>
      </c>
      <c r="K9" s="34"/>
    </row>
    <row r="10" spans="1:12" ht="14.25" customHeight="1" x14ac:dyDescent="0.35">
      <c r="A10" s="8">
        <v>44823</v>
      </c>
      <c r="B10" s="8" t="s">
        <v>7</v>
      </c>
      <c r="C10" s="19">
        <v>245</v>
      </c>
      <c r="D10" s="18">
        <v>2500</v>
      </c>
      <c r="E10" s="13">
        <v>700</v>
      </c>
      <c r="F10" s="13">
        <v>1750000</v>
      </c>
      <c r="G10" s="2" t="s">
        <v>32</v>
      </c>
      <c r="I10" s="29" t="s">
        <v>64</v>
      </c>
      <c r="J10" s="34">
        <f>MODE(F:F)</f>
        <v>1900000</v>
      </c>
      <c r="K10" s="34"/>
    </row>
    <row r="11" spans="1:12" ht="14.25" customHeight="1" x14ac:dyDescent="0.35">
      <c r="A11" s="8">
        <v>44823</v>
      </c>
      <c r="B11" s="8" t="s">
        <v>23</v>
      </c>
      <c r="C11" s="19">
        <v>250</v>
      </c>
      <c r="D11" s="18">
        <v>1000</v>
      </c>
      <c r="E11" s="13">
        <v>1650</v>
      </c>
      <c r="F11" s="13">
        <v>1650000</v>
      </c>
      <c r="G11" s="2" t="s">
        <v>32</v>
      </c>
      <c r="I11" s="29" t="s">
        <v>65</v>
      </c>
      <c r="J11" s="41">
        <f>MIN(F:F)</f>
        <v>300000</v>
      </c>
      <c r="K11" s="41"/>
    </row>
    <row r="12" spans="1:12" ht="14.25" customHeight="1" x14ac:dyDescent="0.35">
      <c r="A12" s="8">
        <v>44823</v>
      </c>
      <c r="B12" s="8" t="s">
        <v>26</v>
      </c>
      <c r="C12" s="19">
        <v>260</v>
      </c>
      <c r="D12" s="18">
        <v>1000</v>
      </c>
      <c r="E12" s="13">
        <v>1650</v>
      </c>
      <c r="F12" s="13">
        <v>1650000</v>
      </c>
      <c r="G12" s="2" t="s">
        <v>32</v>
      </c>
      <c r="I12" s="29" t="s">
        <v>66</v>
      </c>
      <c r="J12" s="41">
        <f>MAX(F:F)</f>
        <v>6800000</v>
      </c>
      <c r="K12" s="41"/>
    </row>
    <row r="13" spans="1:12" ht="14.25" customHeight="1" x14ac:dyDescent="0.35">
      <c r="A13" s="8">
        <v>44823</v>
      </c>
      <c r="B13" s="8" t="s">
        <v>26</v>
      </c>
      <c r="C13" s="19">
        <v>260</v>
      </c>
      <c r="D13" s="18">
        <v>2000</v>
      </c>
      <c r="E13" s="13">
        <v>2300</v>
      </c>
      <c r="F13" s="13">
        <v>4600000</v>
      </c>
      <c r="G13" s="2" t="s">
        <v>32</v>
      </c>
    </row>
    <row r="14" spans="1:12" ht="14.25" customHeight="1" x14ac:dyDescent="0.35">
      <c r="A14" s="8">
        <v>44823</v>
      </c>
      <c r="B14" s="8" t="s">
        <v>8</v>
      </c>
      <c r="C14" s="19">
        <v>290</v>
      </c>
      <c r="D14" s="18">
        <v>5000</v>
      </c>
      <c r="E14" s="13">
        <v>1200</v>
      </c>
      <c r="F14" s="13">
        <v>6000000</v>
      </c>
      <c r="G14" s="2" t="s">
        <v>32</v>
      </c>
    </row>
    <row r="15" spans="1:12" ht="14.25" customHeight="1" x14ac:dyDescent="0.35">
      <c r="A15" s="8">
        <v>44823</v>
      </c>
      <c r="B15" s="8" t="s">
        <v>8</v>
      </c>
      <c r="C15" s="19">
        <v>290</v>
      </c>
      <c r="D15" s="18">
        <v>4000</v>
      </c>
      <c r="E15" s="13">
        <v>1700</v>
      </c>
      <c r="F15" s="13">
        <v>6800000</v>
      </c>
      <c r="G15" s="2" t="s">
        <v>33</v>
      </c>
      <c r="I15" s="40" t="s">
        <v>71</v>
      </c>
      <c r="J15" s="40"/>
      <c r="K15" s="40"/>
    </row>
    <row r="16" spans="1:12" ht="14.25" customHeight="1" x14ac:dyDescent="0.35">
      <c r="A16" s="8">
        <v>44823</v>
      </c>
      <c r="B16" s="8" t="s">
        <v>8</v>
      </c>
      <c r="C16" s="19">
        <v>290</v>
      </c>
      <c r="D16" s="18">
        <v>1000</v>
      </c>
      <c r="E16" s="13">
        <v>1200</v>
      </c>
      <c r="F16" s="13">
        <v>1200000</v>
      </c>
      <c r="G16" s="2" t="s">
        <v>32</v>
      </c>
      <c r="I16" s="29" t="s">
        <v>67</v>
      </c>
      <c r="J16" s="34">
        <f>STDEV(F:F)</f>
        <v>1379034.3434278136</v>
      </c>
      <c r="K16" s="34"/>
    </row>
    <row r="17" spans="1:15" ht="14.25" customHeight="1" x14ac:dyDescent="0.35">
      <c r="A17" s="8">
        <v>44823</v>
      </c>
      <c r="B17" s="8" t="s">
        <v>8</v>
      </c>
      <c r="C17" s="19">
        <v>290</v>
      </c>
      <c r="D17" s="18">
        <v>3000</v>
      </c>
      <c r="E17" s="13">
        <v>1700</v>
      </c>
      <c r="F17" s="13">
        <v>5100000</v>
      </c>
      <c r="G17" s="2" t="s">
        <v>34</v>
      </c>
      <c r="I17" s="29" t="s">
        <v>68</v>
      </c>
      <c r="J17" s="35">
        <f>QUARTILE(F:F,1)</f>
        <v>1400000</v>
      </c>
      <c r="K17" s="35"/>
    </row>
    <row r="18" spans="1:15" ht="14.25" customHeight="1" x14ac:dyDescent="0.35">
      <c r="A18" s="8">
        <v>44823</v>
      </c>
      <c r="B18" s="8" t="s">
        <v>8</v>
      </c>
      <c r="C18" s="19">
        <v>290</v>
      </c>
      <c r="D18" s="18">
        <v>1000</v>
      </c>
      <c r="E18" s="13">
        <v>1200</v>
      </c>
      <c r="F18" s="13">
        <v>1200000</v>
      </c>
      <c r="G18" s="2" t="s">
        <v>32</v>
      </c>
      <c r="I18" s="29" t="s">
        <v>70</v>
      </c>
      <c r="J18" s="35">
        <f>QUARTILE(F:F,2)</f>
        <v>1900000</v>
      </c>
      <c r="K18" s="35"/>
    </row>
    <row r="19" spans="1:15" ht="14.25" customHeight="1" x14ac:dyDescent="0.35">
      <c r="A19" s="8">
        <v>44823</v>
      </c>
      <c r="B19" s="8" t="s">
        <v>9</v>
      </c>
      <c r="C19" s="19">
        <v>310</v>
      </c>
      <c r="D19" s="18">
        <v>500</v>
      </c>
      <c r="E19" s="13">
        <v>1450</v>
      </c>
      <c r="F19" s="13">
        <v>725000</v>
      </c>
      <c r="G19" s="2" t="s">
        <v>32</v>
      </c>
      <c r="I19" s="29" t="s">
        <v>69</v>
      </c>
      <c r="J19" s="35">
        <f>QUARTILE(F:F,3)</f>
        <v>3000000</v>
      </c>
      <c r="K19" s="35"/>
    </row>
    <row r="20" spans="1:15" ht="14.25" customHeight="1" x14ac:dyDescent="0.35">
      <c r="A20" s="8">
        <v>44823</v>
      </c>
      <c r="B20" s="8" t="s">
        <v>9</v>
      </c>
      <c r="C20" s="19">
        <v>310</v>
      </c>
      <c r="D20" s="18">
        <v>1000</v>
      </c>
      <c r="E20" s="13">
        <v>1400</v>
      </c>
      <c r="F20" s="13">
        <v>1400000</v>
      </c>
      <c r="G20" s="2" t="s">
        <v>34</v>
      </c>
    </row>
    <row r="21" spans="1:15" ht="14.25" customHeight="1" x14ac:dyDescent="0.35">
      <c r="A21" s="8">
        <v>44823</v>
      </c>
      <c r="B21" s="8" t="s">
        <v>9</v>
      </c>
      <c r="C21" s="19">
        <v>310</v>
      </c>
      <c r="D21" s="18">
        <v>1000</v>
      </c>
      <c r="E21" s="13">
        <v>1400</v>
      </c>
      <c r="F21" s="13">
        <v>1400000</v>
      </c>
      <c r="G21" s="2" t="s">
        <v>32</v>
      </c>
    </row>
    <row r="22" spans="1:15" ht="14.25" customHeight="1" x14ac:dyDescent="0.35">
      <c r="A22" s="8">
        <v>44823</v>
      </c>
      <c r="B22" s="8" t="s">
        <v>12</v>
      </c>
      <c r="C22" s="19">
        <v>350</v>
      </c>
      <c r="D22" s="18">
        <v>2000</v>
      </c>
      <c r="E22" s="13">
        <v>1600</v>
      </c>
      <c r="F22" s="13">
        <v>3200000</v>
      </c>
      <c r="G22" s="2" t="s">
        <v>32</v>
      </c>
      <c r="I22" s="36" t="s">
        <v>72</v>
      </c>
      <c r="J22" s="37"/>
      <c r="K22" s="37"/>
      <c r="L22" s="37"/>
      <c r="M22" s="37"/>
      <c r="N22" s="37"/>
      <c r="O22" s="38"/>
    </row>
    <row r="23" spans="1:15" ht="14.25" customHeight="1" x14ac:dyDescent="0.35">
      <c r="A23" s="8">
        <v>44823</v>
      </c>
      <c r="B23" s="8" t="s">
        <v>12</v>
      </c>
      <c r="C23" s="19">
        <v>350</v>
      </c>
      <c r="D23" s="18">
        <v>2000</v>
      </c>
      <c r="E23" s="13">
        <v>1500</v>
      </c>
      <c r="F23" s="13">
        <v>3000000</v>
      </c>
      <c r="G23" s="2" t="s">
        <v>32</v>
      </c>
      <c r="I23" s="33" t="s">
        <v>73</v>
      </c>
      <c r="J23" s="33"/>
      <c r="K23" s="33"/>
      <c r="L23" s="33"/>
      <c r="M23" s="33"/>
      <c r="N23" s="33"/>
      <c r="O23" s="30">
        <f>SUMIF(B:B,"Dupleks 350",D:D)</f>
        <v>15000</v>
      </c>
    </row>
    <row r="24" spans="1:15" ht="14.25" customHeight="1" x14ac:dyDescent="0.35">
      <c r="A24" s="8">
        <v>44818</v>
      </c>
      <c r="B24" s="8" t="s">
        <v>14</v>
      </c>
      <c r="C24" s="16">
        <v>100</v>
      </c>
      <c r="D24" s="18">
        <v>1000</v>
      </c>
      <c r="E24" s="13">
        <v>950</v>
      </c>
      <c r="F24" s="13">
        <v>950000</v>
      </c>
      <c r="G24" s="2" t="s">
        <v>32</v>
      </c>
      <c r="I24" s="33" t="s">
        <v>74</v>
      </c>
      <c r="J24" s="33"/>
      <c r="K24" s="33"/>
      <c r="L24" s="33"/>
      <c r="M24" s="33"/>
      <c r="N24" s="33"/>
      <c r="O24" s="31">
        <f>SUMIF(B:B,"Dupleks 350",F:F)</f>
        <v>30050000</v>
      </c>
    </row>
    <row r="25" spans="1:15" ht="14.25" customHeight="1" x14ac:dyDescent="0.35">
      <c r="A25" s="8">
        <v>44818</v>
      </c>
      <c r="B25" s="8" t="s">
        <v>27</v>
      </c>
      <c r="C25" s="19">
        <v>260</v>
      </c>
      <c r="D25" s="18">
        <v>1000</v>
      </c>
      <c r="E25" s="13">
        <v>1800</v>
      </c>
      <c r="F25" s="13">
        <v>1800000</v>
      </c>
      <c r="G25" s="2" t="s">
        <v>31</v>
      </c>
      <c r="I25" s="33" t="s">
        <v>75</v>
      </c>
      <c r="J25" s="33"/>
      <c r="K25" s="33"/>
      <c r="L25" s="33"/>
      <c r="M25" s="33"/>
      <c r="N25" s="33"/>
      <c r="O25" s="31">
        <f>AVERAGEIF(B:B,"Dupleks 350",F:F)</f>
        <v>2504166.6666666665</v>
      </c>
    </row>
    <row r="26" spans="1:15" ht="14.25" customHeight="1" x14ac:dyDescent="0.35">
      <c r="A26" s="8">
        <v>44818</v>
      </c>
      <c r="B26" s="8" t="s">
        <v>26</v>
      </c>
      <c r="C26" s="19">
        <v>260</v>
      </c>
      <c r="D26" s="18">
        <v>1000</v>
      </c>
      <c r="E26" s="13">
        <v>1600</v>
      </c>
      <c r="F26" s="13">
        <v>1600000</v>
      </c>
      <c r="G26" s="2" t="s">
        <v>32</v>
      </c>
      <c r="I26" s="32" t="s">
        <v>77</v>
      </c>
      <c r="J26" s="32"/>
      <c r="K26" s="32"/>
      <c r="L26" s="32"/>
      <c r="M26" s="32"/>
      <c r="N26" s="32"/>
      <c r="O26" s="31">
        <f>SUMIFS(F:F,B:B,"CraftLaminasi 290",E:E,"&gt;500")</f>
        <v>57450000</v>
      </c>
    </row>
    <row r="27" spans="1:15" ht="14.25" customHeight="1" x14ac:dyDescent="0.35">
      <c r="A27" s="8">
        <v>44818</v>
      </c>
      <c r="B27" s="8" t="s">
        <v>17</v>
      </c>
      <c r="C27" s="19">
        <v>270</v>
      </c>
      <c r="D27" s="18">
        <v>1000</v>
      </c>
      <c r="E27" s="13">
        <v>1800</v>
      </c>
      <c r="F27" s="13">
        <v>1800000</v>
      </c>
      <c r="G27" s="2" t="s">
        <v>33</v>
      </c>
    </row>
    <row r="28" spans="1:15" ht="14.25" customHeight="1" x14ac:dyDescent="0.35">
      <c r="A28" s="8">
        <v>44818</v>
      </c>
      <c r="B28" s="8" t="s">
        <v>8</v>
      </c>
      <c r="C28" s="19">
        <v>290</v>
      </c>
      <c r="D28" s="18">
        <v>2000</v>
      </c>
      <c r="E28" s="13">
        <v>1950</v>
      </c>
      <c r="F28" s="13">
        <v>3900000</v>
      </c>
      <c r="G28" s="2" t="s">
        <v>34</v>
      </c>
    </row>
    <row r="29" spans="1:15" ht="14.25" customHeight="1" x14ac:dyDescent="0.35">
      <c r="A29" s="8">
        <v>44818</v>
      </c>
      <c r="B29" s="8" t="s">
        <v>8</v>
      </c>
      <c r="C29" s="19">
        <v>290</v>
      </c>
      <c r="D29" s="18">
        <v>1000</v>
      </c>
      <c r="E29" s="13">
        <v>1200</v>
      </c>
      <c r="F29" s="13">
        <v>1200000</v>
      </c>
      <c r="G29" s="2" t="s">
        <v>33</v>
      </c>
    </row>
    <row r="30" spans="1:15" ht="14.25" customHeight="1" x14ac:dyDescent="0.35">
      <c r="A30" s="8">
        <v>44818</v>
      </c>
      <c r="B30" s="8" t="s">
        <v>28</v>
      </c>
      <c r="C30" s="19">
        <v>295</v>
      </c>
      <c r="D30" s="18">
        <v>1000</v>
      </c>
      <c r="E30" s="13">
        <v>1600</v>
      </c>
      <c r="F30" s="13">
        <v>1600000</v>
      </c>
      <c r="G30" s="2" t="s">
        <v>31</v>
      </c>
    </row>
    <row r="31" spans="1:15" ht="14.25" customHeight="1" x14ac:dyDescent="0.35">
      <c r="A31" s="8">
        <v>44818</v>
      </c>
      <c r="B31" s="8" t="s">
        <v>28</v>
      </c>
      <c r="C31" s="19">
        <v>295</v>
      </c>
      <c r="D31" s="18">
        <v>1000</v>
      </c>
      <c r="E31" s="13">
        <v>1600</v>
      </c>
      <c r="F31" s="13">
        <v>1600000</v>
      </c>
      <c r="G31" s="2" t="s">
        <v>34</v>
      </c>
    </row>
    <row r="32" spans="1:15" ht="14.25" customHeight="1" x14ac:dyDescent="0.35">
      <c r="A32" s="8">
        <v>44818</v>
      </c>
      <c r="B32" s="8" t="s">
        <v>12</v>
      </c>
      <c r="C32" s="19">
        <v>350</v>
      </c>
      <c r="D32" s="18">
        <v>1000</v>
      </c>
      <c r="E32" s="13">
        <v>2800</v>
      </c>
      <c r="F32" s="13">
        <v>2800000</v>
      </c>
      <c r="G32" s="2" t="s">
        <v>34</v>
      </c>
    </row>
    <row r="33" spans="1:7" ht="14.25" customHeight="1" x14ac:dyDescent="0.35">
      <c r="A33" s="8">
        <v>44818</v>
      </c>
      <c r="B33" s="8" t="s">
        <v>12</v>
      </c>
      <c r="C33" s="19">
        <v>350</v>
      </c>
      <c r="D33" s="18">
        <v>2000</v>
      </c>
      <c r="E33" s="13">
        <v>1975</v>
      </c>
      <c r="F33" s="13">
        <v>3950000</v>
      </c>
      <c r="G33" s="2" t="s">
        <v>31</v>
      </c>
    </row>
    <row r="34" spans="1:7" ht="14.25" customHeight="1" x14ac:dyDescent="0.35">
      <c r="A34" s="8">
        <v>44818</v>
      </c>
      <c r="B34" s="8" t="s">
        <v>12</v>
      </c>
      <c r="C34" s="19">
        <v>350</v>
      </c>
      <c r="D34" s="18">
        <v>1000</v>
      </c>
      <c r="E34" s="13">
        <v>2500</v>
      </c>
      <c r="F34" s="13">
        <v>2500000</v>
      </c>
      <c r="G34" s="2" t="s">
        <v>33</v>
      </c>
    </row>
    <row r="35" spans="1:7" ht="14.25" customHeight="1" x14ac:dyDescent="0.35">
      <c r="A35" s="8">
        <v>44818</v>
      </c>
      <c r="B35" s="8" t="s">
        <v>29</v>
      </c>
      <c r="C35" s="19">
        <v>400</v>
      </c>
      <c r="D35" s="18">
        <v>1000</v>
      </c>
      <c r="E35" s="13">
        <v>2500</v>
      </c>
      <c r="F35" s="13">
        <v>2500000</v>
      </c>
      <c r="G35" s="2" t="s">
        <v>32</v>
      </c>
    </row>
    <row r="36" spans="1:7" ht="14.25" customHeight="1" x14ac:dyDescent="0.35">
      <c r="A36" s="8">
        <v>44812</v>
      </c>
      <c r="B36" s="8" t="s">
        <v>14</v>
      </c>
      <c r="C36" s="16">
        <v>100</v>
      </c>
      <c r="D36" s="18">
        <v>1000</v>
      </c>
      <c r="E36" s="13">
        <v>300</v>
      </c>
      <c r="F36" s="13">
        <v>300000</v>
      </c>
      <c r="G36" s="2" t="s">
        <v>32</v>
      </c>
    </row>
    <row r="37" spans="1:7" ht="14.25" customHeight="1" x14ac:dyDescent="0.35">
      <c r="A37" s="8">
        <v>44812</v>
      </c>
      <c r="B37" s="8" t="s">
        <v>10</v>
      </c>
      <c r="C37" s="19">
        <v>270</v>
      </c>
      <c r="D37" s="18">
        <v>500</v>
      </c>
      <c r="E37" s="13">
        <v>5500</v>
      </c>
      <c r="F37" s="13">
        <v>2750000</v>
      </c>
      <c r="G37" s="2" t="s">
        <v>32</v>
      </c>
    </row>
    <row r="38" spans="1:7" ht="14.25" customHeight="1" x14ac:dyDescent="0.35">
      <c r="A38" s="8">
        <v>44812</v>
      </c>
      <c r="B38" s="8" t="s">
        <v>8</v>
      </c>
      <c r="C38" s="19">
        <v>290</v>
      </c>
      <c r="D38" s="18">
        <v>5000</v>
      </c>
      <c r="E38" s="13">
        <v>850</v>
      </c>
      <c r="F38" s="13">
        <v>4250000</v>
      </c>
      <c r="G38" s="2" t="s">
        <v>32</v>
      </c>
    </row>
    <row r="39" spans="1:7" ht="14.25" customHeight="1" x14ac:dyDescent="0.35">
      <c r="A39" s="8">
        <v>44812</v>
      </c>
      <c r="B39" s="8" t="s">
        <v>21</v>
      </c>
      <c r="C39" s="19">
        <v>300</v>
      </c>
      <c r="D39" s="18">
        <v>1000</v>
      </c>
      <c r="E39" s="13">
        <v>2500</v>
      </c>
      <c r="F39" s="13">
        <v>2500000</v>
      </c>
      <c r="G39" s="2" t="s">
        <v>32</v>
      </c>
    </row>
    <row r="40" spans="1:7" ht="14.25" customHeight="1" x14ac:dyDescent="0.35">
      <c r="A40" s="8">
        <v>44812</v>
      </c>
      <c r="B40" s="8" t="s">
        <v>21</v>
      </c>
      <c r="C40" s="19">
        <v>300</v>
      </c>
      <c r="D40" s="18">
        <v>2000</v>
      </c>
      <c r="E40" s="13">
        <v>1500</v>
      </c>
      <c r="F40" s="13">
        <v>3000000</v>
      </c>
      <c r="G40" s="2" t="s">
        <v>33</v>
      </c>
    </row>
    <row r="41" spans="1:7" ht="14.25" customHeight="1" x14ac:dyDescent="0.35">
      <c r="A41" s="8">
        <v>44812</v>
      </c>
      <c r="B41" s="8" t="s">
        <v>9</v>
      </c>
      <c r="C41" s="19">
        <v>310</v>
      </c>
      <c r="D41" s="18">
        <v>1000</v>
      </c>
      <c r="E41" s="13">
        <v>2000</v>
      </c>
      <c r="F41" s="13">
        <v>2000000</v>
      </c>
      <c r="G41" s="2" t="s">
        <v>32</v>
      </c>
    </row>
    <row r="42" spans="1:7" ht="14.25" customHeight="1" x14ac:dyDescent="0.35">
      <c r="A42" s="8">
        <v>44812</v>
      </c>
      <c r="B42" s="8" t="s">
        <v>12</v>
      </c>
      <c r="C42" s="19">
        <v>350</v>
      </c>
      <c r="D42" s="18">
        <v>500</v>
      </c>
      <c r="E42" s="13">
        <v>5500</v>
      </c>
      <c r="F42" s="13">
        <v>2750000</v>
      </c>
      <c r="G42" s="2" t="s">
        <v>32</v>
      </c>
    </row>
    <row r="43" spans="1:7" ht="14.25" customHeight="1" x14ac:dyDescent="0.35">
      <c r="A43" s="8">
        <v>44811</v>
      </c>
      <c r="B43" s="8" t="s">
        <v>14</v>
      </c>
      <c r="C43" s="16">
        <v>100</v>
      </c>
      <c r="D43" s="18">
        <v>1000</v>
      </c>
      <c r="E43" s="13">
        <v>400</v>
      </c>
      <c r="F43" s="13">
        <v>400000</v>
      </c>
      <c r="G43" s="2" t="s">
        <v>32</v>
      </c>
    </row>
    <row r="44" spans="1:7" ht="14.25" customHeight="1" x14ac:dyDescent="0.35">
      <c r="A44" s="8">
        <v>44811</v>
      </c>
      <c r="B44" s="8" t="s">
        <v>9</v>
      </c>
      <c r="C44" s="19">
        <v>310</v>
      </c>
      <c r="D44" s="18">
        <v>2000</v>
      </c>
      <c r="E44" s="13">
        <v>1600</v>
      </c>
      <c r="F44" s="13">
        <v>3200000</v>
      </c>
      <c r="G44" s="2" t="s">
        <v>31</v>
      </c>
    </row>
    <row r="45" spans="1:7" ht="14.25" customHeight="1" x14ac:dyDescent="0.35">
      <c r="A45" s="8">
        <v>44811</v>
      </c>
      <c r="B45" s="8" t="s">
        <v>9</v>
      </c>
      <c r="C45" s="19">
        <v>310</v>
      </c>
      <c r="D45" s="18">
        <v>2000</v>
      </c>
      <c r="E45" s="13">
        <v>1600</v>
      </c>
      <c r="F45" s="13">
        <v>3200000</v>
      </c>
      <c r="G45" s="2" t="s">
        <v>31</v>
      </c>
    </row>
    <row r="46" spans="1:7" ht="14.25" customHeight="1" x14ac:dyDescent="0.35">
      <c r="A46" s="8">
        <v>44809</v>
      </c>
      <c r="B46" s="8" t="s">
        <v>15</v>
      </c>
      <c r="C46" s="19">
        <v>230</v>
      </c>
      <c r="D46" s="18">
        <v>1000</v>
      </c>
      <c r="E46" s="13">
        <v>1200</v>
      </c>
      <c r="F46" s="13">
        <v>1200000</v>
      </c>
      <c r="G46" s="2" t="s">
        <v>31</v>
      </c>
    </row>
    <row r="47" spans="1:7" ht="14.25" customHeight="1" x14ac:dyDescent="0.35">
      <c r="A47" s="8">
        <v>44809</v>
      </c>
      <c r="B47" s="8" t="s">
        <v>26</v>
      </c>
      <c r="C47" s="19">
        <v>260</v>
      </c>
      <c r="D47" s="18">
        <v>5000</v>
      </c>
      <c r="E47" s="13">
        <v>1200</v>
      </c>
      <c r="F47" s="13">
        <v>6000000</v>
      </c>
      <c r="G47" s="2" t="s">
        <v>31</v>
      </c>
    </row>
    <row r="48" spans="1:7" ht="14.25" customHeight="1" x14ac:dyDescent="0.35">
      <c r="A48" s="8">
        <v>44809</v>
      </c>
      <c r="B48" s="8" t="s">
        <v>8</v>
      </c>
      <c r="C48" s="19">
        <v>290</v>
      </c>
      <c r="D48" s="18">
        <v>1000</v>
      </c>
      <c r="E48" s="13">
        <v>1100</v>
      </c>
      <c r="F48" s="13">
        <v>1100000</v>
      </c>
      <c r="G48" s="2" t="s">
        <v>31</v>
      </c>
    </row>
    <row r="49" spans="1:7" ht="14.25" customHeight="1" x14ac:dyDescent="0.35">
      <c r="A49" s="8">
        <v>44807</v>
      </c>
      <c r="B49" s="8" t="s">
        <v>8</v>
      </c>
      <c r="C49" s="19">
        <v>290</v>
      </c>
      <c r="D49" s="18">
        <v>6000</v>
      </c>
      <c r="E49" s="13">
        <v>950</v>
      </c>
      <c r="F49" s="13">
        <v>5700000</v>
      </c>
      <c r="G49" s="2" t="s">
        <v>34</v>
      </c>
    </row>
    <row r="50" spans="1:7" ht="14.25" customHeight="1" x14ac:dyDescent="0.35">
      <c r="A50" s="8">
        <v>44807</v>
      </c>
      <c r="B50" s="8" t="s">
        <v>25</v>
      </c>
      <c r="C50" s="16">
        <v>300</v>
      </c>
      <c r="D50" s="18">
        <v>20000</v>
      </c>
      <c r="E50" s="13">
        <v>250</v>
      </c>
      <c r="F50" s="13">
        <v>5000000</v>
      </c>
      <c r="G50" s="2" t="s">
        <v>31</v>
      </c>
    </row>
    <row r="51" spans="1:7" ht="14.25" customHeight="1" x14ac:dyDescent="0.35">
      <c r="A51" s="8">
        <v>44806</v>
      </c>
      <c r="B51" s="8" t="s">
        <v>15</v>
      </c>
      <c r="C51" s="19">
        <v>230</v>
      </c>
      <c r="D51" s="18">
        <v>2000</v>
      </c>
      <c r="E51" s="13">
        <v>945</v>
      </c>
      <c r="F51" s="13">
        <v>1890000</v>
      </c>
      <c r="G51" s="2" t="s">
        <v>32</v>
      </c>
    </row>
    <row r="52" spans="1:7" ht="14.25" customHeight="1" x14ac:dyDescent="0.35">
      <c r="A52" s="8">
        <v>44806</v>
      </c>
      <c r="B52" s="8" t="s">
        <v>8</v>
      </c>
      <c r="C52" s="19">
        <v>290</v>
      </c>
      <c r="D52" s="18">
        <v>5000</v>
      </c>
      <c r="E52" s="13">
        <v>800</v>
      </c>
      <c r="F52" s="13">
        <v>4000000</v>
      </c>
      <c r="G52" s="2" t="s">
        <v>32</v>
      </c>
    </row>
    <row r="53" spans="1:7" ht="14.25" customHeight="1" x14ac:dyDescent="0.35">
      <c r="A53" s="8">
        <v>44806</v>
      </c>
      <c r="B53" s="8" t="s">
        <v>9</v>
      </c>
      <c r="C53" s="19">
        <v>310</v>
      </c>
      <c r="D53" s="18">
        <v>1000</v>
      </c>
      <c r="E53" s="13">
        <v>1500</v>
      </c>
      <c r="F53" s="13">
        <v>1500000</v>
      </c>
      <c r="G53" s="2" t="s">
        <v>32</v>
      </c>
    </row>
    <row r="54" spans="1:7" ht="14.25" customHeight="1" x14ac:dyDescent="0.35">
      <c r="A54" s="8">
        <v>44806</v>
      </c>
      <c r="B54" s="8" t="s">
        <v>12</v>
      </c>
      <c r="C54" s="19">
        <v>350</v>
      </c>
      <c r="D54" s="18">
        <v>2000</v>
      </c>
      <c r="E54" s="13">
        <v>1500</v>
      </c>
      <c r="F54" s="13">
        <v>3000000</v>
      </c>
      <c r="G54" s="2" t="s">
        <v>32</v>
      </c>
    </row>
    <row r="55" spans="1:7" ht="14.25" customHeight="1" x14ac:dyDescent="0.35">
      <c r="A55" s="8">
        <v>44806</v>
      </c>
      <c r="B55" s="8" t="s">
        <v>14</v>
      </c>
      <c r="C55" s="16" t="s">
        <v>37</v>
      </c>
      <c r="D55" s="18">
        <v>1000</v>
      </c>
      <c r="E55" s="13">
        <v>500</v>
      </c>
      <c r="F55" s="13">
        <v>500000</v>
      </c>
      <c r="G55" s="2" t="s">
        <v>32</v>
      </c>
    </row>
    <row r="56" spans="1:7" ht="14.25" customHeight="1" x14ac:dyDescent="0.35">
      <c r="A56" s="8">
        <v>44805</v>
      </c>
      <c r="B56" s="8" t="s">
        <v>24</v>
      </c>
      <c r="C56" s="19">
        <v>295</v>
      </c>
      <c r="D56" s="18">
        <v>1000</v>
      </c>
      <c r="E56" s="13">
        <v>1900</v>
      </c>
      <c r="F56" s="13">
        <v>1900000</v>
      </c>
      <c r="G56" s="2" t="s">
        <v>32</v>
      </c>
    </row>
    <row r="57" spans="1:7" ht="14.25" customHeight="1" x14ac:dyDescent="0.35">
      <c r="A57" s="8">
        <v>44804</v>
      </c>
      <c r="B57" s="8" t="s">
        <v>14</v>
      </c>
      <c r="C57" s="16">
        <v>100</v>
      </c>
      <c r="D57" s="18">
        <v>1000</v>
      </c>
      <c r="E57" s="13">
        <v>400</v>
      </c>
      <c r="F57" s="13">
        <v>400000</v>
      </c>
      <c r="G57" s="2" t="s">
        <v>33</v>
      </c>
    </row>
    <row r="58" spans="1:7" ht="14.25" customHeight="1" x14ac:dyDescent="0.35">
      <c r="A58" s="8">
        <v>44804</v>
      </c>
      <c r="B58" s="8" t="s">
        <v>23</v>
      </c>
      <c r="C58" s="19">
        <v>250</v>
      </c>
      <c r="D58" s="18">
        <v>1000</v>
      </c>
      <c r="E58" s="13">
        <v>1600</v>
      </c>
      <c r="F58" s="13">
        <v>1600000</v>
      </c>
      <c r="G58" s="2" t="s">
        <v>34</v>
      </c>
    </row>
    <row r="59" spans="1:7" ht="14.25" customHeight="1" x14ac:dyDescent="0.35">
      <c r="A59" s="8">
        <v>44803</v>
      </c>
      <c r="B59" s="8" t="s">
        <v>22</v>
      </c>
      <c r="C59" s="16">
        <v>270</v>
      </c>
      <c r="D59" s="18">
        <v>3000</v>
      </c>
      <c r="E59" s="13">
        <v>1300</v>
      </c>
      <c r="F59" s="13">
        <v>3900000</v>
      </c>
      <c r="G59" s="2" t="s">
        <v>32</v>
      </c>
    </row>
    <row r="60" spans="1:7" ht="14.25" customHeight="1" x14ac:dyDescent="0.35">
      <c r="A60" s="8">
        <v>44803</v>
      </c>
      <c r="B60" s="8" t="s">
        <v>21</v>
      </c>
      <c r="C60" s="16">
        <v>300</v>
      </c>
      <c r="D60" s="18">
        <v>1000</v>
      </c>
      <c r="E60" s="13">
        <v>1700</v>
      </c>
      <c r="F60" s="13">
        <v>1700000</v>
      </c>
      <c r="G60" s="2" t="s">
        <v>32</v>
      </c>
    </row>
    <row r="61" spans="1:7" ht="14.25" customHeight="1" x14ac:dyDescent="0.35">
      <c r="A61" s="8">
        <v>44803</v>
      </c>
      <c r="B61" s="8" t="s">
        <v>9</v>
      </c>
      <c r="C61" s="16">
        <v>310</v>
      </c>
      <c r="D61" s="18">
        <v>1500</v>
      </c>
      <c r="E61" s="13">
        <v>1900</v>
      </c>
      <c r="F61" s="13">
        <v>2850000</v>
      </c>
      <c r="G61" s="2" t="s">
        <v>32</v>
      </c>
    </row>
    <row r="62" spans="1:7" ht="14.25" customHeight="1" x14ac:dyDescent="0.35">
      <c r="A62" s="8">
        <v>44803</v>
      </c>
      <c r="B62" s="8" t="s">
        <v>9</v>
      </c>
      <c r="C62" s="19">
        <v>310</v>
      </c>
      <c r="D62" s="18">
        <v>1000</v>
      </c>
      <c r="E62" s="13">
        <v>2200</v>
      </c>
      <c r="F62" s="13">
        <v>2200000</v>
      </c>
      <c r="G62" s="2" t="s">
        <v>34</v>
      </c>
    </row>
    <row r="63" spans="1:7" ht="14.25" customHeight="1" x14ac:dyDescent="0.35">
      <c r="A63" s="8">
        <v>44802</v>
      </c>
      <c r="B63" s="8" t="s">
        <v>15</v>
      </c>
      <c r="C63" s="16">
        <v>230</v>
      </c>
      <c r="D63" s="18">
        <v>2000</v>
      </c>
      <c r="E63" s="13">
        <v>1450</v>
      </c>
      <c r="F63" s="13">
        <v>2900000</v>
      </c>
      <c r="G63" s="2" t="s">
        <v>32</v>
      </c>
    </row>
    <row r="64" spans="1:7" ht="14.25" customHeight="1" x14ac:dyDescent="0.35">
      <c r="A64" s="8">
        <v>44802</v>
      </c>
      <c r="B64" s="8" t="s">
        <v>9</v>
      </c>
      <c r="C64" s="16">
        <v>310</v>
      </c>
      <c r="D64" s="18">
        <v>1000</v>
      </c>
      <c r="E64" s="13">
        <v>1550</v>
      </c>
      <c r="F64" s="13">
        <v>1550000</v>
      </c>
      <c r="G64" s="2" t="s">
        <v>32</v>
      </c>
    </row>
    <row r="65" spans="1:7" ht="14.25" customHeight="1" x14ac:dyDescent="0.35">
      <c r="A65" s="8">
        <v>44802</v>
      </c>
      <c r="B65" s="8" t="s">
        <v>9</v>
      </c>
      <c r="C65" s="16">
        <v>310</v>
      </c>
      <c r="D65" s="18">
        <v>1000</v>
      </c>
      <c r="E65" s="13">
        <v>1800</v>
      </c>
      <c r="F65" s="13">
        <v>1800000</v>
      </c>
      <c r="G65" s="2" t="s">
        <v>32</v>
      </c>
    </row>
    <row r="66" spans="1:7" ht="14.25" customHeight="1" x14ac:dyDescent="0.35">
      <c r="A66" s="8">
        <v>44795</v>
      </c>
      <c r="B66" s="8" t="s">
        <v>19</v>
      </c>
      <c r="C66" s="16">
        <v>260</v>
      </c>
      <c r="D66" s="18">
        <v>3500</v>
      </c>
      <c r="E66" s="13">
        <v>1650</v>
      </c>
      <c r="F66" s="13">
        <v>5775000</v>
      </c>
      <c r="G66" s="2" t="s">
        <v>32</v>
      </c>
    </row>
    <row r="67" spans="1:7" ht="14.25" customHeight="1" x14ac:dyDescent="0.35">
      <c r="A67" s="8">
        <v>44795</v>
      </c>
      <c r="B67" s="8" t="s">
        <v>16</v>
      </c>
      <c r="C67" s="16">
        <v>290</v>
      </c>
      <c r="D67" s="18">
        <v>3500</v>
      </c>
      <c r="E67" s="13">
        <v>1300</v>
      </c>
      <c r="F67" s="13">
        <v>4550000</v>
      </c>
      <c r="G67" s="2" t="s">
        <v>34</v>
      </c>
    </row>
    <row r="68" spans="1:7" ht="14.25" customHeight="1" x14ac:dyDescent="0.35">
      <c r="A68" s="8">
        <v>44795</v>
      </c>
      <c r="B68" s="8" t="s">
        <v>16</v>
      </c>
      <c r="C68" s="16">
        <v>290</v>
      </c>
      <c r="D68" s="18">
        <v>2000</v>
      </c>
      <c r="E68" s="13">
        <v>1200</v>
      </c>
      <c r="F68" s="13">
        <v>2400000</v>
      </c>
      <c r="G68" s="2" t="s">
        <v>34</v>
      </c>
    </row>
    <row r="69" spans="1:7" ht="14.25" customHeight="1" x14ac:dyDescent="0.35">
      <c r="A69" s="8">
        <v>44795</v>
      </c>
      <c r="B69" s="8" t="s">
        <v>16</v>
      </c>
      <c r="C69" s="16">
        <v>290</v>
      </c>
      <c r="D69" s="18">
        <v>2000</v>
      </c>
      <c r="E69" s="13">
        <v>1850</v>
      </c>
      <c r="F69" s="13">
        <v>3700000</v>
      </c>
      <c r="G69" s="2" t="s">
        <v>32</v>
      </c>
    </row>
    <row r="70" spans="1:7" ht="14.25" customHeight="1" x14ac:dyDescent="0.35">
      <c r="A70" s="8">
        <v>44795</v>
      </c>
      <c r="B70" s="8" t="s">
        <v>9</v>
      </c>
      <c r="C70" s="16">
        <v>310</v>
      </c>
      <c r="D70" s="18">
        <v>2000</v>
      </c>
      <c r="E70" s="13">
        <v>1710</v>
      </c>
      <c r="F70" s="13">
        <v>3420000</v>
      </c>
      <c r="G70" s="2" t="s">
        <v>32</v>
      </c>
    </row>
    <row r="71" spans="1:7" ht="14.25" customHeight="1" x14ac:dyDescent="0.35">
      <c r="A71" s="8">
        <v>44795</v>
      </c>
      <c r="B71" s="8" t="s">
        <v>9</v>
      </c>
      <c r="C71" s="16">
        <v>310</v>
      </c>
      <c r="D71" s="18">
        <v>1000</v>
      </c>
      <c r="E71" s="13">
        <v>1900</v>
      </c>
      <c r="F71" s="13">
        <v>1900000</v>
      </c>
      <c r="G71" s="2" t="s">
        <v>32</v>
      </c>
    </row>
    <row r="72" spans="1:7" ht="14.25" customHeight="1" x14ac:dyDescent="0.35">
      <c r="A72" s="8">
        <v>44795</v>
      </c>
      <c r="B72" s="8" t="s">
        <v>9</v>
      </c>
      <c r="C72" s="16">
        <v>310</v>
      </c>
      <c r="D72" s="18">
        <v>2000</v>
      </c>
      <c r="E72" s="13">
        <v>1800</v>
      </c>
      <c r="F72" s="13">
        <v>3600000</v>
      </c>
      <c r="G72" s="2" t="s">
        <v>32</v>
      </c>
    </row>
    <row r="73" spans="1:7" ht="14.25" customHeight="1" x14ac:dyDescent="0.35">
      <c r="A73" s="8">
        <v>44795</v>
      </c>
      <c r="B73" s="8" t="s">
        <v>20</v>
      </c>
      <c r="C73" s="16">
        <v>400</v>
      </c>
      <c r="D73" s="18">
        <v>1000</v>
      </c>
      <c r="E73" s="13">
        <v>2300</v>
      </c>
      <c r="F73" s="13">
        <v>2300000</v>
      </c>
      <c r="G73" s="2" t="s">
        <v>32</v>
      </c>
    </row>
    <row r="74" spans="1:7" ht="14.25" customHeight="1" x14ac:dyDescent="0.35">
      <c r="A74" s="8">
        <v>44791</v>
      </c>
      <c r="B74" s="8" t="s">
        <v>18</v>
      </c>
      <c r="C74" s="16">
        <v>150</v>
      </c>
      <c r="D74" s="18">
        <v>500</v>
      </c>
      <c r="E74" s="13">
        <v>900</v>
      </c>
      <c r="F74" s="13">
        <v>450000</v>
      </c>
      <c r="G74" s="2" t="s">
        <v>31</v>
      </c>
    </row>
    <row r="75" spans="1:7" ht="14.25" customHeight="1" x14ac:dyDescent="0.35">
      <c r="A75" s="8">
        <v>44791</v>
      </c>
      <c r="B75" s="8" t="s">
        <v>7</v>
      </c>
      <c r="C75" s="16">
        <v>245</v>
      </c>
      <c r="D75" s="18">
        <v>1000</v>
      </c>
      <c r="E75" s="13">
        <v>1800</v>
      </c>
      <c r="F75" s="13">
        <v>1800000</v>
      </c>
      <c r="G75" s="2" t="s">
        <v>31</v>
      </c>
    </row>
    <row r="76" spans="1:7" ht="14.25" customHeight="1" x14ac:dyDescent="0.35">
      <c r="A76" s="8">
        <v>44791</v>
      </c>
      <c r="B76" s="8" t="s">
        <v>17</v>
      </c>
      <c r="C76" s="16">
        <v>270</v>
      </c>
      <c r="D76" s="18">
        <v>500</v>
      </c>
      <c r="E76" s="13">
        <v>2200</v>
      </c>
      <c r="F76" s="13">
        <v>1100000</v>
      </c>
      <c r="G76" s="2" t="s">
        <v>31</v>
      </c>
    </row>
    <row r="77" spans="1:7" ht="14.25" customHeight="1" x14ac:dyDescent="0.35">
      <c r="A77" s="8">
        <v>44791</v>
      </c>
      <c r="B77" s="8" t="s">
        <v>16</v>
      </c>
      <c r="C77" s="16">
        <v>290</v>
      </c>
      <c r="D77" s="18">
        <v>1000</v>
      </c>
      <c r="E77" s="13">
        <v>975</v>
      </c>
      <c r="F77" s="13">
        <v>975000</v>
      </c>
      <c r="G77" s="2" t="s">
        <v>31</v>
      </c>
    </row>
    <row r="78" spans="1:7" ht="14.25" customHeight="1" x14ac:dyDescent="0.35">
      <c r="A78" s="8">
        <v>44789</v>
      </c>
      <c r="B78" s="8" t="s">
        <v>11</v>
      </c>
      <c r="C78" s="16">
        <v>130</v>
      </c>
      <c r="D78" s="18">
        <v>2000</v>
      </c>
      <c r="E78" s="13">
        <v>500</v>
      </c>
      <c r="F78" s="13">
        <v>1000000</v>
      </c>
      <c r="G78" s="2" t="s">
        <v>31</v>
      </c>
    </row>
    <row r="79" spans="1:7" ht="14.25" customHeight="1" x14ac:dyDescent="0.35">
      <c r="A79" s="8">
        <v>44789</v>
      </c>
      <c r="B79" s="8" t="s">
        <v>9</v>
      </c>
      <c r="C79" s="19">
        <v>310</v>
      </c>
      <c r="D79" s="18">
        <v>2000</v>
      </c>
      <c r="E79" s="13">
        <v>1750</v>
      </c>
      <c r="F79" s="13">
        <v>3500000</v>
      </c>
      <c r="G79" s="2" t="s">
        <v>31</v>
      </c>
    </row>
    <row r="80" spans="1:7" ht="14.25" customHeight="1" x14ac:dyDescent="0.35">
      <c r="A80" s="8">
        <v>44789</v>
      </c>
      <c r="B80" s="8" t="s">
        <v>12</v>
      </c>
      <c r="C80" s="19">
        <v>350</v>
      </c>
      <c r="D80" s="18">
        <v>2000</v>
      </c>
      <c r="E80" s="13">
        <v>1975</v>
      </c>
      <c r="F80" s="13">
        <v>3950000</v>
      </c>
      <c r="G80" s="2" t="s">
        <v>31</v>
      </c>
    </row>
    <row r="81" spans="1:7" ht="14.25" customHeight="1" x14ac:dyDescent="0.35">
      <c r="A81" s="8">
        <v>44788</v>
      </c>
      <c r="B81" s="8" t="s">
        <v>15</v>
      </c>
      <c r="C81" s="19">
        <v>230</v>
      </c>
      <c r="D81" s="18">
        <v>1500</v>
      </c>
      <c r="E81" s="13">
        <v>1100</v>
      </c>
      <c r="F81" s="13">
        <v>1650000</v>
      </c>
      <c r="G81" s="2" t="s">
        <v>32</v>
      </c>
    </row>
    <row r="82" spans="1:7" ht="14.25" customHeight="1" x14ac:dyDescent="0.35">
      <c r="A82" s="8">
        <v>44788</v>
      </c>
      <c r="B82" s="8" t="s">
        <v>15</v>
      </c>
      <c r="C82" s="19">
        <v>230</v>
      </c>
      <c r="D82" s="18">
        <v>3000</v>
      </c>
      <c r="E82" s="13">
        <v>950</v>
      </c>
      <c r="F82" s="13">
        <v>2850000</v>
      </c>
      <c r="G82" s="2" t="s">
        <v>32</v>
      </c>
    </row>
    <row r="83" spans="1:7" ht="14.25" customHeight="1" x14ac:dyDescent="0.35">
      <c r="A83" s="8">
        <v>44788</v>
      </c>
      <c r="B83" s="8" t="s">
        <v>36</v>
      </c>
      <c r="C83" s="19">
        <v>260</v>
      </c>
      <c r="D83" s="18">
        <v>2000</v>
      </c>
      <c r="E83" s="13">
        <v>2300</v>
      </c>
      <c r="F83" s="13">
        <v>4600000</v>
      </c>
      <c r="G83" s="2" t="s">
        <v>32</v>
      </c>
    </row>
    <row r="84" spans="1:7" ht="14.25" customHeight="1" x14ac:dyDescent="0.35">
      <c r="A84" s="8">
        <v>44788</v>
      </c>
      <c r="B84" s="8" t="s">
        <v>38</v>
      </c>
      <c r="C84" s="19">
        <v>260</v>
      </c>
      <c r="D84" s="18">
        <v>1000</v>
      </c>
      <c r="E84" s="13">
        <v>2200</v>
      </c>
      <c r="F84" s="13">
        <v>2200000</v>
      </c>
      <c r="G84" s="2" t="s">
        <v>34</v>
      </c>
    </row>
    <row r="85" spans="1:7" ht="14.25" customHeight="1" x14ac:dyDescent="0.35">
      <c r="A85" s="8">
        <v>44788</v>
      </c>
      <c r="B85" s="8" t="s">
        <v>17</v>
      </c>
      <c r="C85" s="19">
        <v>270</v>
      </c>
      <c r="D85" s="18">
        <v>1000</v>
      </c>
      <c r="E85" s="13">
        <v>1900</v>
      </c>
      <c r="F85" s="13">
        <v>1900000</v>
      </c>
      <c r="G85" s="2" t="s">
        <v>31</v>
      </c>
    </row>
    <row r="86" spans="1:7" ht="14.25" customHeight="1" x14ac:dyDescent="0.35">
      <c r="A86" s="8">
        <v>44788</v>
      </c>
      <c r="B86" s="8" t="s">
        <v>16</v>
      </c>
      <c r="C86" s="19">
        <v>290</v>
      </c>
      <c r="D86" s="18">
        <v>1000</v>
      </c>
      <c r="E86" s="13">
        <v>2200</v>
      </c>
      <c r="F86" s="13">
        <v>2200000</v>
      </c>
      <c r="G86" s="2" t="s">
        <v>33</v>
      </c>
    </row>
    <row r="87" spans="1:7" ht="14.25" customHeight="1" x14ac:dyDescent="0.35">
      <c r="A87" s="8">
        <v>44788</v>
      </c>
      <c r="B87" s="8" t="s">
        <v>16</v>
      </c>
      <c r="C87" s="19">
        <v>290</v>
      </c>
      <c r="D87" s="18">
        <v>3000</v>
      </c>
      <c r="E87" s="13">
        <v>875</v>
      </c>
      <c r="F87" s="13">
        <v>2625000</v>
      </c>
      <c r="G87" s="2" t="s">
        <v>32</v>
      </c>
    </row>
    <row r="88" spans="1:7" ht="14.25" customHeight="1" x14ac:dyDescent="0.35">
      <c r="A88" s="8">
        <v>44788</v>
      </c>
      <c r="B88" s="8" t="s">
        <v>9</v>
      </c>
      <c r="C88" s="19">
        <v>310</v>
      </c>
      <c r="D88" s="18">
        <v>2000</v>
      </c>
      <c r="E88" s="13">
        <v>1600</v>
      </c>
      <c r="F88" s="13">
        <v>3200000</v>
      </c>
      <c r="G88" s="2" t="s">
        <v>32</v>
      </c>
    </row>
    <row r="89" spans="1:7" ht="14.25" customHeight="1" x14ac:dyDescent="0.35">
      <c r="A89" s="8">
        <v>44786</v>
      </c>
      <c r="B89" s="8" t="s">
        <v>14</v>
      </c>
      <c r="C89" s="16">
        <v>100</v>
      </c>
      <c r="D89" s="18">
        <v>1500</v>
      </c>
      <c r="E89" s="13">
        <v>300</v>
      </c>
      <c r="F89" s="13">
        <v>450000</v>
      </c>
      <c r="G89" s="2" t="s">
        <v>32</v>
      </c>
    </row>
    <row r="90" spans="1:7" ht="14.25" customHeight="1" x14ac:dyDescent="0.35">
      <c r="A90" s="8">
        <v>44785</v>
      </c>
      <c r="B90" s="8" t="s">
        <v>10</v>
      </c>
      <c r="C90" s="19">
        <v>270</v>
      </c>
      <c r="D90" s="18">
        <v>1000</v>
      </c>
      <c r="E90" s="13">
        <v>2000</v>
      </c>
      <c r="F90" s="13">
        <v>2000000</v>
      </c>
      <c r="G90" s="2" t="s">
        <v>31</v>
      </c>
    </row>
    <row r="91" spans="1:7" ht="14.25" customHeight="1" x14ac:dyDescent="0.35">
      <c r="A91" s="8">
        <v>44785</v>
      </c>
      <c r="B91" s="8" t="s">
        <v>8</v>
      </c>
      <c r="C91" s="19">
        <v>290</v>
      </c>
      <c r="D91" s="18">
        <v>3000</v>
      </c>
      <c r="E91" s="13">
        <v>800</v>
      </c>
      <c r="F91" s="13">
        <v>2400000</v>
      </c>
      <c r="G91" s="2" t="s">
        <v>32</v>
      </c>
    </row>
    <row r="92" spans="1:7" ht="14.25" customHeight="1" x14ac:dyDescent="0.35">
      <c r="A92" s="8">
        <v>44785</v>
      </c>
      <c r="B92" s="8" t="s">
        <v>8</v>
      </c>
      <c r="C92" s="19">
        <v>290</v>
      </c>
      <c r="D92" s="18">
        <v>500</v>
      </c>
      <c r="E92" s="13">
        <v>600</v>
      </c>
      <c r="F92" s="13">
        <v>300000</v>
      </c>
      <c r="G92" s="2" t="s">
        <v>31</v>
      </c>
    </row>
    <row r="93" spans="1:7" ht="14.25" customHeight="1" x14ac:dyDescent="0.35">
      <c r="A93" s="8">
        <v>44785</v>
      </c>
      <c r="B93" s="8" t="s">
        <v>12</v>
      </c>
      <c r="C93" s="19">
        <v>350</v>
      </c>
      <c r="D93" s="18">
        <v>1000</v>
      </c>
      <c r="E93" s="13">
        <v>2200</v>
      </c>
      <c r="F93" s="13">
        <v>2200000</v>
      </c>
      <c r="G93" s="2" t="s">
        <v>32</v>
      </c>
    </row>
    <row r="94" spans="1:7" ht="14.25" customHeight="1" x14ac:dyDescent="0.35">
      <c r="A94" s="8">
        <v>44785</v>
      </c>
      <c r="B94" s="8" t="s">
        <v>13</v>
      </c>
      <c r="C94" s="16">
        <v>500</v>
      </c>
      <c r="D94" s="18">
        <v>1000</v>
      </c>
      <c r="E94" s="13">
        <v>1200</v>
      </c>
      <c r="F94" s="13">
        <v>1200000</v>
      </c>
      <c r="G94" s="2" t="s">
        <v>33</v>
      </c>
    </row>
    <row r="95" spans="1:7" ht="14.25" customHeight="1" x14ac:dyDescent="0.35">
      <c r="A95" s="8">
        <v>44784</v>
      </c>
      <c r="B95" s="8" t="s">
        <v>8</v>
      </c>
      <c r="C95" s="19">
        <v>290</v>
      </c>
      <c r="D95" s="18">
        <v>1000</v>
      </c>
      <c r="E95" s="13">
        <v>850</v>
      </c>
      <c r="F95" s="13">
        <v>850000</v>
      </c>
      <c r="G95" s="2" t="s">
        <v>32</v>
      </c>
    </row>
    <row r="96" spans="1:7" ht="14.25" customHeight="1" x14ac:dyDescent="0.35">
      <c r="A96" s="8">
        <v>44784</v>
      </c>
      <c r="B96" s="8" t="s">
        <v>9</v>
      </c>
      <c r="C96" s="19">
        <v>310</v>
      </c>
      <c r="D96" s="18">
        <v>2000</v>
      </c>
      <c r="E96" s="13">
        <v>1300</v>
      </c>
      <c r="F96" s="13">
        <v>2600000</v>
      </c>
      <c r="G96" s="2" t="s">
        <v>32</v>
      </c>
    </row>
    <row r="97" spans="1:7" ht="14.25" customHeight="1" x14ac:dyDescent="0.35">
      <c r="A97" s="8">
        <v>44784</v>
      </c>
      <c r="B97" s="8" t="s">
        <v>12</v>
      </c>
      <c r="C97" s="19">
        <v>350</v>
      </c>
      <c r="D97" s="18">
        <v>500</v>
      </c>
      <c r="E97" s="13">
        <v>1800</v>
      </c>
      <c r="F97" s="13">
        <v>900000</v>
      </c>
      <c r="G97" s="2" t="s">
        <v>32</v>
      </c>
    </row>
    <row r="98" spans="1:7" ht="14.25" customHeight="1" x14ac:dyDescent="0.35">
      <c r="A98" s="8">
        <v>44784</v>
      </c>
      <c r="B98" s="8" t="s">
        <v>12</v>
      </c>
      <c r="C98" s="19">
        <v>350</v>
      </c>
      <c r="D98" s="18">
        <v>500</v>
      </c>
      <c r="E98" s="13">
        <v>1800</v>
      </c>
      <c r="F98" s="13">
        <v>900000</v>
      </c>
      <c r="G98" s="2" t="s">
        <v>32</v>
      </c>
    </row>
    <row r="99" spans="1:7" ht="14.25" customHeight="1" x14ac:dyDescent="0.35">
      <c r="A99" s="8">
        <v>44783</v>
      </c>
      <c r="B99" s="8" t="s">
        <v>10</v>
      </c>
      <c r="C99" s="19">
        <v>270</v>
      </c>
      <c r="D99" s="18">
        <v>1000</v>
      </c>
      <c r="E99" s="13">
        <v>2000</v>
      </c>
      <c r="F99" s="13">
        <v>2000000</v>
      </c>
      <c r="G99" s="2" t="s">
        <v>33</v>
      </c>
    </row>
    <row r="100" spans="1:7" ht="14.25" customHeight="1" x14ac:dyDescent="0.35">
      <c r="A100" s="8">
        <v>44783</v>
      </c>
      <c r="B100" s="8" t="s">
        <v>9</v>
      </c>
      <c r="C100" s="19">
        <v>310</v>
      </c>
      <c r="D100" s="18">
        <v>500</v>
      </c>
      <c r="E100" s="13">
        <v>1600</v>
      </c>
      <c r="F100" s="13">
        <v>800000</v>
      </c>
      <c r="G100" s="2" t="s">
        <v>34</v>
      </c>
    </row>
    <row r="101" spans="1:7" ht="14.25" customHeight="1" x14ac:dyDescent="0.35">
      <c r="A101" s="8">
        <v>44782</v>
      </c>
      <c r="B101" s="8" t="s">
        <v>11</v>
      </c>
      <c r="C101" s="19">
        <v>130</v>
      </c>
      <c r="D101" s="18">
        <v>1000</v>
      </c>
      <c r="E101" s="13">
        <v>1000</v>
      </c>
      <c r="F101" s="13">
        <v>1000000</v>
      </c>
      <c r="G101" s="2" t="s">
        <v>31</v>
      </c>
    </row>
    <row r="102" spans="1:7" ht="14.25" customHeight="1" x14ac:dyDescent="0.35">
      <c r="A102" s="8">
        <v>44782</v>
      </c>
      <c r="B102" s="8" t="s">
        <v>12</v>
      </c>
      <c r="C102" s="19">
        <v>350</v>
      </c>
      <c r="D102" s="18">
        <v>500</v>
      </c>
      <c r="E102" s="13">
        <v>1800</v>
      </c>
      <c r="F102" s="13">
        <v>900000</v>
      </c>
      <c r="G102" s="2" t="s">
        <v>32</v>
      </c>
    </row>
    <row r="103" spans="1:7" ht="14.25" customHeight="1" x14ac:dyDescent="0.35">
      <c r="A103" s="8">
        <v>44781</v>
      </c>
      <c r="B103" s="8" t="s">
        <v>10</v>
      </c>
      <c r="C103" s="19">
        <v>270</v>
      </c>
      <c r="D103" s="18">
        <v>1000</v>
      </c>
      <c r="E103" s="13">
        <v>1700</v>
      </c>
      <c r="F103" s="13">
        <v>1700000</v>
      </c>
      <c r="G103" s="2" t="s">
        <v>31</v>
      </c>
    </row>
    <row r="104" spans="1:7" ht="14.25" customHeight="1" x14ac:dyDescent="0.35">
      <c r="A104" s="8">
        <v>44781</v>
      </c>
      <c r="B104" s="8" t="s">
        <v>10</v>
      </c>
      <c r="C104" s="19">
        <v>270</v>
      </c>
      <c r="D104" s="18">
        <v>1000</v>
      </c>
      <c r="E104" s="13">
        <v>1700</v>
      </c>
      <c r="F104" s="13">
        <v>1700000</v>
      </c>
      <c r="G104" s="2" t="s">
        <v>31</v>
      </c>
    </row>
    <row r="105" spans="1:7" ht="14.25" customHeight="1" x14ac:dyDescent="0.35">
      <c r="A105" s="8">
        <v>44781</v>
      </c>
      <c r="B105" s="8" t="s">
        <v>9</v>
      </c>
      <c r="C105" s="19">
        <v>310</v>
      </c>
      <c r="D105" s="18">
        <v>500</v>
      </c>
      <c r="E105" s="13">
        <f>F105/D105</f>
        <v>1900</v>
      </c>
      <c r="F105" s="13">
        <v>950000</v>
      </c>
      <c r="G105" s="2" t="s">
        <v>31</v>
      </c>
    </row>
    <row r="106" spans="1:7" ht="14.25" customHeight="1" x14ac:dyDescent="0.35">
      <c r="A106" s="8">
        <v>44778</v>
      </c>
      <c r="B106" s="8" t="s">
        <v>7</v>
      </c>
      <c r="C106" s="19">
        <v>245</v>
      </c>
      <c r="D106" s="18">
        <v>1000</v>
      </c>
      <c r="E106" s="13">
        <v>1900</v>
      </c>
      <c r="F106" s="13">
        <v>1900000</v>
      </c>
      <c r="G106" s="2" t="s">
        <v>32</v>
      </c>
    </row>
    <row r="107" spans="1:7" ht="14.25" customHeight="1" x14ac:dyDescent="0.35">
      <c r="A107" s="8">
        <v>44778</v>
      </c>
      <c r="B107" s="8" t="s">
        <v>6</v>
      </c>
      <c r="C107" s="19">
        <v>260</v>
      </c>
      <c r="D107" s="18">
        <v>1000</v>
      </c>
      <c r="E107" s="13">
        <v>1800</v>
      </c>
      <c r="F107" s="13">
        <v>1800000</v>
      </c>
      <c r="G107" s="2" t="s">
        <v>32</v>
      </c>
    </row>
    <row r="108" spans="1:7" ht="14.25" customHeight="1" x14ac:dyDescent="0.35">
      <c r="A108" s="8">
        <v>44778</v>
      </c>
      <c r="B108" s="8" t="s">
        <v>8</v>
      </c>
      <c r="C108" s="19">
        <v>290</v>
      </c>
      <c r="D108" s="18">
        <v>5000</v>
      </c>
      <c r="E108" s="13">
        <v>750</v>
      </c>
      <c r="F108" s="13">
        <f>E108*D108</f>
        <v>3750000</v>
      </c>
      <c r="G108" s="2" t="s">
        <v>32</v>
      </c>
    </row>
    <row r="109" spans="1:7" ht="14.25" customHeight="1" x14ac:dyDescent="0.35">
      <c r="A109" s="8">
        <v>44778</v>
      </c>
      <c r="B109" s="8" t="s">
        <v>8</v>
      </c>
      <c r="C109" s="19">
        <v>290</v>
      </c>
      <c r="D109" s="18">
        <v>1000</v>
      </c>
      <c r="E109" s="13">
        <v>1200</v>
      </c>
      <c r="F109" s="13">
        <v>1200000</v>
      </c>
      <c r="G109" s="2" t="s">
        <v>33</v>
      </c>
    </row>
    <row r="110" spans="1:7" ht="14.25" customHeight="1" x14ac:dyDescent="0.35">
      <c r="A110" s="8">
        <v>44750</v>
      </c>
      <c r="B110" s="8" t="s">
        <v>9</v>
      </c>
      <c r="C110" s="19">
        <v>310</v>
      </c>
      <c r="D110" s="18">
        <v>1000</v>
      </c>
      <c r="E110" s="13">
        <v>1550</v>
      </c>
      <c r="F110" s="13">
        <v>1550000</v>
      </c>
      <c r="G110" s="2" t="s">
        <v>32</v>
      </c>
    </row>
    <row r="111" spans="1:7" ht="14.25" customHeight="1" x14ac:dyDescent="0.35"/>
    <row r="112" spans="1:7"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mergeCells count="17">
    <mergeCell ref="I22:O22"/>
    <mergeCell ref="I23:N23"/>
    <mergeCell ref="I24:N24"/>
    <mergeCell ref="I25:N25"/>
    <mergeCell ref="I26:N26"/>
    <mergeCell ref="J12:K12"/>
    <mergeCell ref="I15:K15"/>
    <mergeCell ref="J16:K16"/>
    <mergeCell ref="J17:K17"/>
    <mergeCell ref="J18:K18"/>
    <mergeCell ref="J19:K19"/>
    <mergeCell ref="I1:L1"/>
    <mergeCell ref="I7:K7"/>
    <mergeCell ref="J8:K8"/>
    <mergeCell ref="J9:K9"/>
    <mergeCell ref="J10:K10"/>
    <mergeCell ref="J11:K11"/>
  </mergeCell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Perhatian" error="Anda mengisi status di luar ketentuan" promptTitle="Status Transaksi" prompt="Pilih status transaksi berdasarkan kondisinya" xr:uid="{896116A0-C0B1-4532-8991-B51FEB9860AE}">
          <x14:formula1>
            <xm:f>Helper!$B$3:$B$6</xm:f>
          </x14:formula1>
          <xm:sqref>G2:G110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6"/>
  <sheetViews>
    <sheetView workbookViewId="0"/>
  </sheetViews>
  <sheetFormatPr defaultColWidth="14.453125" defaultRowHeight="15" customHeight="1" x14ac:dyDescent="0.35"/>
  <cols>
    <col min="1" max="1" width="3.81640625" customWidth="1"/>
    <col min="2" max="2" width="21.453125" customWidth="1"/>
  </cols>
  <sheetData>
    <row r="1" spans="1:2" x14ac:dyDescent="0.35">
      <c r="A1" s="3"/>
      <c r="B1" s="3"/>
    </row>
    <row r="2" spans="1:2" x14ac:dyDescent="0.35">
      <c r="A2" s="3"/>
      <c r="B2" s="4" t="s">
        <v>30</v>
      </c>
    </row>
    <row r="3" spans="1:2" x14ac:dyDescent="0.35">
      <c r="A3" s="5"/>
      <c r="B3" s="6" t="s">
        <v>31</v>
      </c>
    </row>
    <row r="4" spans="1:2" x14ac:dyDescent="0.35">
      <c r="A4" s="5"/>
      <c r="B4" s="6" t="s">
        <v>32</v>
      </c>
    </row>
    <row r="5" spans="1:2" x14ac:dyDescent="0.35">
      <c r="A5" s="5"/>
      <c r="B5" s="6" t="s">
        <v>33</v>
      </c>
    </row>
    <row r="6" spans="1:2" x14ac:dyDescent="0.35">
      <c r="A6" s="5"/>
      <c r="B6" s="6"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C7FFE-FC6C-46CE-BDAD-2EC50ACAC2A0}">
  <dimension ref="A3:N32"/>
  <sheetViews>
    <sheetView topLeftCell="A10" workbookViewId="0">
      <selection activeCell="M23" sqref="M23"/>
    </sheetView>
  </sheetViews>
  <sheetFormatPr defaultRowHeight="14.5" x14ac:dyDescent="0.35"/>
  <cols>
    <col min="1" max="1" width="12.36328125" bestFit="1" customWidth="1"/>
    <col min="2" max="2" width="11.36328125" bestFit="1" customWidth="1"/>
    <col min="5" max="5" width="12.36328125" bestFit="1" customWidth="1"/>
    <col min="6" max="7" width="18.54296875" bestFit="1" customWidth="1"/>
    <col min="8" max="8" width="22.81640625" bestFit="1" customWidth="1"/>
    <col min="9" max="10" width="15.81640625" bestFit="1" customWidth="1"/>
    <col min="11" max="11" width="14.54296875" bestFit="1" customWidth="1"/>
    <col min="12" max="12" width="11" bestFit="1" customWidth="1"/>
    <col min="13" max="13" width="17.08984375" bestFit="1" customWidth="1"/>
    <col min="14" max="15" width="10.7265625" bestFit="1" customWidth="1"/>
    <col min="16" max="17" width="11" bestFit="1" customWidth="1"/>
    <col min="18" max="18" width="11.54296875" bestFit="1" customWidth="1"/>
    <col min="19" max="19" width="17.36328125" bestFit="1" customWidth="1"/>
    <col min="20" max="20" width="17.08984375" bestFit="1" customWidth="1"/>
    <col min="21" max="21" width="11.54296875" bestFit="1" customWidth="1"/>
    <col min="22" max="22" width="16.81640625" bestFit="1" customWidth="1"/>
    <col min="23" max="23" width="13.54296875" bestFit="1" customWidth="1"/>
    <col min="24" max="24" width="17.08984375" bestFit="1" customWidth="1"/>
    <col min="25" max="25" width="16.81640625" bestFit="1" customWidth="1"/>
    <col min="26" max="26" width="11.26953125" bestFit="1" customWidth="1"/>
    <col min="27" max="27" width="7.81640625" bestFit="1" customWidth="1"/>
    <col min="28" max="28" width="8.81640625" bestFit="1" customWidth="1"/>
    <col min="29" max="29" width="8.453125" bestFit="1" customWidth="1"/>
    <col min="30" max="30" width="8.81640625" bestFit="1" customWidth="1"/>
    <col min="31" max="31" width="8.453125" bestFit="1" customWidth="1"/>
    <col min="32" max="34" width="11.26953125" bestFit="1" customWidth="1"/>
    <col min="35" max="35" width="10.7265625" bestFit="1" customWidth="1"/>
  </cols>
  <sheetData>
    <row r="3" spans="1:14" x14ac:dyDescent="0.35">
      <c r="A3" s="24" t="s">
        <v>40</v>
      </c>
      <c r="B3" t="s">
        <v>54</v>
      </c>
      <c r="E3" s="24" t="s">
        <v>40</v>
      </c>
      <c r="F3" t="s">
        <v>54</v>
      </c>
      <c r="H3" s="24" t="s">
        <v>40</v>
      </c>
      <c r="I3" t="s">
        <v>57</v>
      </c>
    </row>
    <row r="4" spans="1:14" x14ac:dyDescent="0.35">
      <c r="A4" s="25" t="s">
        <v>42</v>
      </c>
      <c r="B4" s="15">
        <v>1550000</v>
      </c>
      <c r="E4" s="25" t="s">
        <v>26</v>
      </c>
      <c r="F4" s="27">
        <v>8.2100832864044571E-2</v>
      </c>
      <c r="H4" s="25" t="s">
        <v>31</v>
      </c>
      <c r="I4" s="15">
        <v>26</v>
      </c>
    </row>
    <row r="5" spans="1:14" x14ac:dyDescent="0.35">
      <c r="A5" s="26" t="s">
        <v>79</v>
      </c>
      <c r="B5" s="15">
        <v>1550000</v>
      </c>
      <c r="E5" s="25" t="s">
        <v>16</v>
      </c>
      <c r="F5" s="27">
        <v>9.7513263582204565E-2</v>
      </c>
      <c r="H5" s="25" t="s">
        <v>33</v>
      </c>
      <c r="I5" s="15">
        <v>10</v>
      </c>
    </row>
    <row r="6" spans="1:14" x14ac:dyDescent="0.35">
      <c r="A6" s="25" t="s">
        <v>43</v>
      </c>
      <c r="B6" s="15">
        <v>112045000</v>
      </c>
      <c r="E6" s="25" t="s">
        <v>12</v>
      </c>
      <c r="F6" s="27">
        <v>0.17813213195411837</v>
      </c>
      <c r="H6" s="25" t="s">
        <v>34</v>
      </c>
      <c r="I6" s="15">
        <v>16</v>
      </c>
    </row>
    <row r="7" spans="1:14" x14ac:dyDescent="0.35">
      <c r="A7" s="26" t="s">
        <v>80</v>
      </c>
      <c r="B7" s="15">
        <v>8650000</v>
      </c>
      <c r="E7" s="25" t="s">
        <v>9</v>
      </c>
      <c r="F7" s="27">
        <v>0.30169833130798185</v>
      </c>
      <c r="H7" s="25" t="s">
        <v>32</v>
      </c>
      <c r="I7" s="15">
        <v>57</v>
      </c>
    </row>
    <row r="8" spans="1:14" x14ac:dyDescent="0.35">
      <c r="A8" s="26" t="s">
        <v>81</v>
      </c>
      <c r="B8" s="15">
        <v>4350000</v>
      </c>
      <c r="E8" s="25" t="s">
        <v>8</v>
      </c>
      <c r="F8" s="27">
        <v>0.34055544029165064</v>
      </c>
      <c r="H8" s="25" t="s">
        <v>41</v>
      </c>
      <c r="I8" s="15">
        <v>109</v>
      </c>
    </row>
    <row r="9" spans="1:14" x14ac:dyDescent="0.35">
      <c r="A9" s="26" t="s">
        <v>82</v>
      </c>
      <c r="B9" s="15">
        <v>1900000</v>
      </c>
      <c r="E9" s="25" t="s">
        <v>41</v>
      </c>
      <c r="F9" s="27">
        <v>1</v>
      </c>
    </row>
    <row r="10" spans="1:14" x14ac:dyDescent="0.35">
      <c r="A10" s="26" t="s">
        <v>83</v>
      </c>
      <c r="B10" s="15">
        <v>2800000</v>
      </c>
    </row>
    <row r="11" spans="1:14" x14ac:dyDescent="0.35">
      <c r="A11" s="26" t="s">
        <v>84</v>
      </c>
      <c r="B11" s="15">
        <v>5250000</v>
      </c>
    </row>
    <row r="12" spans="1:14" x14ac:dyDescent="0.35">
      <c r="A12" s="26" t="s">
        <v>85</v>
      </c>
      <c r="B12" s="15">
        <v>8100000</v>
      </c>
      <c r="E12" s="24" t="s">
        <v>40</v>
      </c>
      <c r="F12" t="s">
        <v>55</v>
      </c>
      <c r="H12" s="24" t="s">
        <v>58</v>
      </c>
      <c r="I12" s="24" t="s">
        <v>56</v>
      </c>
    </row>
    <row r="13" spans="1:14" x14ac:dyDescent="0.35">
      <c r="A13" s="26" t="s">
        <v>86</v>
      </c>
      <c r="B13" s="15">
        <v>450000</v>
      </c>
      <c r="E13" s="25" t="s">
        <v>16</v>
      </c>
      <c r="F13" s="15">
        <v>12500</v>
      </c>
      <c r="H13" s="24" t="s">
        <v>40</v>
      </c>
      <c r="I13" t="s">
        <v>16</v>
      </c>
      <c r="J13" t="s">
        <v>8</v>
      </c>
      <c r="K13" t="s">
        <v>9</v>
      </c>
      <c r="L13" t="s">
        <v>12</v>
      </c>
      <c r="M13" t="s">
        <v>26</v>
      </c>
      <c r="N13" t="s">
        <v>41</v>
      </c>
    </row>
    <row r="14" spans="1:14" x14ac:dyDescent="0.35">
      <c r="A14" s="26" t="s">
        <v>87</v>
      </c>
      <c r="B14" s="15">
        <v>21225000</v>
      </c>
      <c r="E14" s="25" t="s">
        <v>12</v>
      </c>
      <c r="F14" s="15">
        <v>15000</v>
      </c>
      <c r="H14" s="25" t="s">
        <v>42</v>
      </c>
      <c r="I14" s="15"/>
      <c r="J14" s="15"/>
      <c r="K14" s="15">
        <v>1550000</v>
      </c>
      <c r="L14" s="15"/>
      <c r="M14" s="15"/>
      <c r="N14" s="15">
        <v>1550000</v>
      </c>
    </row>
    <row r="15" spans="1:14" x14ac:dyDescent="0.35">
      <c r="A15" s="26" t="s">
        <v>88</v>
      </c>
      <c r="B15" s="15">
        <v>8450000</v>
      </c>
      <c r="E15" s="25" t="s">
        <v>25</v>
      </c>
      <c r="F15" s="15">
        <v>20000</v>
      </c>
      <c r="H15" s="25" t="s">
        <v>43</v>
      </c>
      <c r="I15" s="15">
        <v>16450000</v>
      </c>
      <c r="J15" s="15">
        <v>8500000</v>
      </c>
      <c r="K15" s="15">
        <v>28370000</v>
      </c>
      <c r="L15" s="15">
        <v>8850000</v>
      </c>
      <c r="M15" s="15"/>
      <c r="N15" s="15">
        <v>62170000</v>
      </c>
    </row>
    <row r="16" spans="1:14" x14ac:dyDescent="0.35">
      <c r="A16" s="26" t="s">
        <v>89</v>
      </c>
      <c r="B16" s="15">
        <v>4325000</v>
      </c>
      <c r="E16" s="25" t="s">
        <v>9</v>
      </c>
      <c r="F16" s="15">
        <v>30000</v>
      </c>
      <c r="H16" s="25" t="s">
        <v>44</v>
      </c>
      <c r="I16" s="15"/>
      <c r="J16" s="15">
        <v>48950000</v>
      </c>
      <c r="K16" s="15">
        <v>20975000</v>
      </c>
      <c r="L16" s="15">
        <v>21200000</v>
      </c>
      <c r="M16" s="15">
        <v>13850000</v>
      </c>
      <c r="N16" s="15">
        <v>104975000</v>
      </c>
    </row>
    <row r="17" spans="1:14" x14ac:dyDescent="0.35">
      <c r="A17" s="26" t="s">
        <v>90</v>
      </c>
      <c r="B17" s="15">
        <v>27645000</v>
      </c>
      <c r="E17" s="25" t="s">
        <v>8</v>
      </c>
      <c r="F17" s="15">
        <v>51500</v>
      </c>
      <c r="H17" s="25" t="s">
        <v>41</v>
      </c>
      <c r="I17" s="15">
        <v>16450000</v>
      </c>
      <c r="J17" s="15">
        <v>57450000</v>
      </c>
      <c r="K17" s="15">
        <v>50895000</v>
      </c>
      <c r="L17" s="15">
        <v>30050000</v>
      </c>
      <c r="M17" s="15">
        <v>13850000</v>
      </c>
      <c r="N17" s="15">
        <v>168695000</v>
      </c>
    </row>
    <row r="18" spans="1:14" x14ac:dyDescent="0.35">
      <c r="A18" s="26" t="s">
        <v>91</v>
      </c>
      <c r="B18" s="15">
        <v>6250000</v>
      </c>
      <c r="E18" s="25" t="s">
        <v>41</v>
      </c>
      <c r="F18" s="15">
        <v>129000</v>
      </c>
    </row>
    <row r="19" spans="1:14" x14ac:dyDescent="0.35">
      <c r="A19" s="26" t="s">
        <v>92</v>
      </c>
      <c r="B19" s="15">
        <v>10650000</v>
      </c>
    </row>
    <row r="20" spans="1:14" x14ac:dyDescent="0.35">
      <c r="A20" s="26" t="s">
        <v>93</v>
      </c>
      <c r="B20" s="15">
        <v>2000000</v>
      </c>
      <c r="E20" s="25" t="s">
        <v>41</v>
      </c>
      <c r="F20" s="28">
        <f>GETPIVOTDATA("Total",$E$21)</f>
        <v>36050000</v>
      </c>
    </row>
    <row r="21" spans="1:14" x14ac:dyDescent="0.35">
      <c r="A21" s="25" t="s">
        <v>44</v>
      </c>
      <c r="B21" s="15">
        <v>139965000</v>
      </c>
      <c r="E21" s="24" t="s">
        <v>40</v>
      </c>
      <c r="F21" t="s">
        <v>54</v>
      </c>
      <c r="H21" s="24" t="s">
        <v>0</v>
      </c>
      <c r="I21" t="s">
        <v>59</v>
      </c>
    </row>
    <row r="22" spans="1:14" x14ac:dyDescent="0.35">
      <c r="A22" s="26" t="s">
        <v>45</v>
      </c>
      <c r="B22" s="15">
        <v>1900000</v>
      </c>
      <c r="E22" s="25" t="s">
        <v>12</v>
      </c>
      <c r="F22" s="15">
        <v>30050000</v>
      </c>
    </row>
    <row r="23" spans="1:14" x14ac:dyDescent="0.35">
      <c r="A23" s="26" t="s">
        <v>46</v>
      </c>
      <c r="B23" s="15">
        <v>10890000</v>
      </c>
      <c r="E23" s="25" t="s">
        <v>17</v>
      </c>
      <c r="F23" s="15">
        <v>4800000</v>
      </c>
      <c r="H23" s="24" t="s">
        <v>40</v>
      </c>
      <c r="I23" t="s">
        <v>60</v>
      </c>
    </row>
    <row r="24" spans="1:14" x14ac:dyDescent="0.35">
      <c r="A24" s="26" t="s">
        <v>47</v>
      </c>
      <c r="B24" s="15">
        <v>10700000</v>
      </c>
      <c r="E24" s="25" t="s">
        <v>13</v>
      </c>
      <c r="F24" s="15">
        <v>1200000</v>
      </c>
      <c r="H24" s="25" t="s">
        <v>31</v>
      </c>
      <c r="I24" s="15">
        <v>12</v>
      </c>
    </row>
    <row r="25" spans="1:14" x14ac:dyDescent="0.35">
      <c r="A25" s="26" t="s">
        <v>48</v>
      </c>
      <c r="B25" s="15">
        <v>8300000</v>
      </c>
      <c r="E25" s="25" t="s">
        <v>41</v>
      </c>
      <c r="F25" s="15">
        <v>36050000</v>
      </c>
      <c r="H25" s="25" t="s">
        <v>33</v>
      </c>
      <c r="I25" s="15">
        <v>5</v>
      </c>
    </row>
    <row r="26" spans="1:14" x14ac:dyDescent="0.35">
      <c r="A26" s="26" t="s">
        <v>49</v>
      </c>
      <c r="B26" s="15">
        <v>6800000</v>
      </c>
      <c r="H26" s="25" t="s">
        <v>34</v>
      </c>
      <c r="I26" s="15">
        <v>10</v>
      </c>
    </row>
    <row r="27" spans="1:14" x14ac:dyDescent="0.35">
      <c r="A27" s="26" t="s">
        <v>50</v>
      </c>
      <c r="B27" s="15">
        <v>17550000</v>
      </c>
      <c r="H27" s="25" t="s">
        <v>32</v>
      </c>
      <c r="I27" s="15">
        <v>28</v>
      </c>
    </row>
    <row r="28" spans="1:14" x14ac:dyDescent="0.35">
      <c r="A28" s="26" t="s">
        <v>51</v>
      </c>
      <c r="B28" s="15">
        <v>26200000</v>
      </c>
      <c r="H28" s="25" t="s">
        <v>41</v>
      </c>
      <c r="I28" s="15">
        <v>55</v>
      </c>
    </row>
    <row r="29" spans="1:14" x14ac:dyDescent="0.35">
      <c r="A29" s="26" t="s">
        <v>52</v>
      </c>
      <c r="B29" s="15">
        <v>39675000</v>
      </c>
    </row>
    <row r="30" spans="1:14" x14ac:dyDescent="0.35">
      <c r="A30" s="26" t="s">
        <v>53</v>
      </c>
      <c r="B30" s="15">
        <v>17950000</v>
      </c>
    </row>
    <row r="31" spans="1:14" x14ac:dyDescent="0.35">
      <c r="A31" s="25" t="s">
        <v>41</v>
      </c>
      <c r="B31" s="15">
        <v>253560000</v>
      </c>
    </row>
    <row r="32" spans="1:14" x14ac:dyDescent="0.35">
      <c r="A32" s="26" t="s">
        <v>41</v>
      </c>
      <c r="B32" s="28">
        <f>GETPIVOTDATA("Total",$A$3)</f>
        <v>253560000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EE7D-09AF-4AA7-B952-E3B41254DBCE}">
  <dimension ref="A1"/>
  <sheetViews>
    <sheetView showGridLines="0" showRowColHeaders="0" zoomScale="48" zoomScaleNormal="70" workbookViewId="0">
      <selection activeCell="AD38" sqref="AD38"/>
    </sheetView>
  </sheetViews>
  <sheetFormatPr defaultRowHeight="14.5" x14ac:dyDescent="0.35"/>
  <sheetData/>
  <pageMargins left="0.7" right="0.7" top="0.75" bottom="0.75" header="0.3" footer="0.3"/>
  <pageSetup scale="110"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Raw_Data</vt:lpstr>
      <vt:lpstr>Clean_Data</vt:lpstr>
      <vt:lpstr>Statistics</vt:lpstr>
      <vt:lpstr>Helper</vt:lpstr>
      <vt:lpstr>Pivot</vt:lpstr>
      <vt:lpstr>Dashboard</vt:lpstr>
      <vt:lpstr>Statistics!Criteria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Puan Bening</dc:creator>
  <cp:lastModifiedBy>Muhammad Zaky Muqoddas</cp:lastModifiedBy>
  <cp:lastPrinted>2025-10-09T01:56:51Z</cp:lastPrinted>
  <dcterms:created xsi:type="dcterms:W3CDTF">2025-09-23T08:15:39Z</dcterms:created>
  <dcterms:modified xsi:type="dcterms:W3CDTF">2026-02-07T11:04:32Z</dcterms:modified>
</cp:coreProperties>
</file>