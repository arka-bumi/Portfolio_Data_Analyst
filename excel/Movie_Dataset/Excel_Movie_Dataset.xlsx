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zakym_xg1tqji\Documents\Path to Data Analyst\Excel\Temu Data - Excel Data Analysis\Judul Movie Data Set\"/>
    </mc:Choice>
  </mc:AlternateContent>
  <xr:revisionPtr revIDLastSave="0" documentId="13_ncr:1_{DA3607DE-D1A0-4CAA-938A-769A6A267C2F}" xr6:coauthVersionLast="47" xr6:coauthVersionMax="47" xr10:uidLastSave="{00000000-0000-0000-0000-000000000000}"/>
  <bookViews>
    <workbookView xWindow="-110" yWindow="-110" windowWidth="19420" windowHeight="10300" firstSheet="1" activeTab="5" xr2:uid="{105AB351-5E88-4527-A84D-52AA837A8833}"/>
  </bookViews>
  <sheets>
    <sheet name="Raw_Data" sheetId="13" r:id="rId1"/>
    <sheet name="Clean_Data" sheetId="2" r:id="rId2"/>
    <sheet name="Director_Performance" sheetId="10" r:id="rId3"/>
    <sheet name="Genre_Summary" sheetId="9" r:id="rId4"/>
    <sheet name="Gross_Success_Factors" sheetId="11" r:id="rId5"/>
    <sheet name="Dashboard" sheetId="12" r:id="rId6"/>
  </sheets>
  <definedNames>
    <definedName name="_xlnm._FilterDatabase" localSheetId="4" hidden="1">Gross_Success_Factors!$A$1:$D$110</definedName>
    <definedName name="ExternalData_1" localSheetId="1" hidden="1">Clean_Data!$A$1:$H$110</definedName>
    <definedName name="ExternalData_2" localSheetId="2" hidden="1">Director_Performance!$A$1:$G$74</definedName>
    <definedName name="ExternalData_2" localSheetId="3" hidden="1">Genre_Summary!$A$1:$J$20</definedName>
    <definedName name="Slicer_Overall_Clas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2" i="12" l="1"/>
  <c r="D21" i="12"/>
  <c r="D20" i="12"/>
  <c r="G4" i="11"/>
  <c r="G2" i="11"/>
  <c r="G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7E41AC-74A6-4228-976B-A34520E6F69F}" keepAlive="1" name="Query - All Movie" description="Connection to the 'All Movie' query in the workbook." type="5" refreshedVersion="7" background="1" saveData="1">
    <dbPr connection="Provider=Microsoft.Mashup.OleDb.1;Data Source=$Workbook$;Location=&quot;All Movie&quot;;Extended Properties=&quot;&quot;" command="SELECT * FROM [All Movie]"/>
  </connection>
  <connection id="2" xr16:uid="{1C43B9CD-0DC3-47E9-8B1B-A502B32555DB}" keepAlive="1" name="Query - Director Performance" description="Connection to the 'Director Performance' query in the workbook." type="5" refreshedVersion="7" background="1" saveData="1">
    <dbPr connection="Provider=Microsoft.Mashup.OleDb.1;Data Source=$Workbook$;Location=&quot;Director Performance&quot;;Extended Properties=&quot;&quot;" command="SELECT * FROM [Director Performance]"/>
  </connection>
  <connection id="3" xr16:uid="{969A8DA0-7EF3-4998-9C24-D94582FDBDAD}" keepAlive="1" name="Query - Genre Summary" description="Connection to the 'Genre Summary' query in the workbook." type="5" refreshedVersion="7" background="1" saveData="1">
    <dbPr connection="Provider=Microsoft.Mashup.OleDb.1;Data Source=$Workbook$;Location=&quot;Genre Summary&quot;;Extended Properties=&quot;&quot;" command="SELECT * FROM [Genre Summary]"/>
  </connection>
</connections>
</file>

<file path=xl/sharedStrings.xml><?xml version="1.0" encoding="utf-8"?>
<sst xmlns="http://schemas.openxmlformats.org/spreadsheetml/2006/main" count="1270" uniqueCount="521">
  <si>
    <t>Title</t>
  </si>
  <si>
    <t>Director</t>
  </si>
  <si>
    <t>Release Year</t>
  </si>
  <si>
    <t>Runtime (Minutes)</t>
  </si>
  <si>
    <t>Genre</t>
  </si>
  <si>
    <t>Rating</t>
  </si>
  <si>
    <t>Metascore</t>
  </si>
  <si>
    <t>Gross Revenue (in Million)</t>
  </si>
  <si>
    <t>The Shawshank Redemption</t>
  </si>
  <si>
    <t>Frank Darabont</t>
  </si>
  <si>
    <t>Drama</t>
  </si>
  <si>
    <t>The Godfather</t>
  </si>
  <si>
    <t>Francis Ford Coppola</t>
  </si>
  <si>
    <t>Crime, Drama</t>
  </si>
  <si>
    <t>The Dark Knight</t>
  </si>
  <si>
    <t>Christopher Nolan</t>
  </si>
  <si>
    <t>Action, Crime, Drama</t>
  </si>
  <si>
    <t>Schindler's List</t>
  </si>
  <si>
    <t>Steven Spielberg</t>
  </si>
  <si>
    <t>Biography, Drama, History</t>
  </si>
  <si>
    <t>12 Angry Men</t>
  </si>
  <si>
    <t>Sidney Lumet</t>
  </si>
  <si>
    <t>The Lord of the Rings: The Return of the King</t>
  </si>
  <si>
    <t>Peter Jackson</t>
  </si>
  <si>
    <t>Action, Adventure, Drama</t>
  </si>
  <si>
    <t>The Godfather Part II</t>
  </si>
  <si>
    <t>Pulp Fiction</t>
  </si>
  <si>
    <t>Quentin Tarantino</t>
  </si>
  <si>
    <t>Inception</t>
  </si>
  <si>
    <t>Action, Adventure, Sci-Fi</t>
  </si>
  <si>
    <t>The Lord of the Rings: The Fellowship of the Ring</t>
  </si>
  <si>
    <t>Fight Club</t>
  </si>
  <si>
    <t>David Fincher</t>
  </si>
  <si>
    <t>Forrest Gump</t>
  </si>
  <si>
    <t>Robert Zemeckis</t>
  </si>
  <si>
    <t>Drama, Romance</t>
  </si>
  <si>
    <t>The Good, the Bad and the Ugly</t>
  </si>
  <si>
    <t>Sergio Leone</t>
  </si>
  <si>
    <t>Adventure, Western</t>
  </si>
  <si>
    <t>The Lord of the Rings: The Two Towers</t>
  </si>
  <si>
    <t>Interstellar</t>
  </si>
  <si>
    <t>Adventure, Drama, Sci-Fi</t>
  </si>
  <si>
    <t>Goodfellas</t>
  </si>
  <si>
    <t>Martin Scorsese</t>
  </si>
  <si>
    <t>Biography, Crime, Drama</t>
  </si>
  <si>
    <t>The Matrix</t>
  </si>
  <si>
    <t>Lana Wachowski</t>
  </si>
  <si>
    <t>Action, Sci-Fi</t>
  </si>
  <si>
    <t>One Flew Over the Cuckoo's Nest</t>
  </si>
  <si>
    <t>Milos Forman</t>
  </si>
  <si>
    <t>Star Wars: Episode V - The Empire Strikes Back</t>
  </si>
  <si>
    <t>Irvin Kershner</t>
  </si>
  <si>
    <t>Action, Adventure, Fantasy</t>
  </si>
  <si>
    <t>The Green Mile</t>
  </si>
  <si>
    <t>Crime, Drama, Fantasy</t>
  </si>
  <si>
    <t>Terminator 2: Judgment Day</t>
  </si>
  <si>
    <t>James Cameron</t>
  </si>
  <si>
    <t>Se7en</t>
  </si>
  <si>
    <t>Crime, Drama, Mystery</t>
  </si>
  <si>
    <t>Saving Private Ryan</t>
  </si>
  <si>
    <t>Drama, War</t>
  </si>
  <si>
    <t>The Silence of the Lambs</t>
  </si>
  <si>
    <t>Jonathan Demme</t>
  </si>
  <si>
    <t>Crime, Drama, Thriller</t>
  </si>
  <si>
    <t>Star Wars: Episode IV - A New Hope</t>
  </si>
  <si>
    <t>George Lucas</t>
  </si>
  <si>
    <t>Spirited Away</t>
  </si>
  <si>
    <t>Hayao Miyazaki</t>
  </si>
  <si>
    <t>Animation, Adventure, Family</t>
  </si>
  <si>
    <t>City of God</t>
  </si>
  <si>
    <t>Fernando Meirelles</t>
  </si>
  <si>
    <t>Life Is Beautiful</t>
  </si>
  <si>
    <t>Roberto Benigni</t>
  </si>
  <si>
    <t>Comedy, Drama, Romance</t>
  </si>
  <si>
    <t>Seven Samurai</t>
  </si>
  <si>
    <t>Akira Kurosawa</t>
  </si>
  <si>
    <t>Action, Drama</t>
  </si>
  <si>
    <t>It's a Wonderful Life</t>
  </si>
  <si>
    <t>Frank Capra</t>
  </si>
  <si>
    <t>Drama, Family, Fantasy</t>
  </si>
  <si>
    <t>Harakiri</t>
  </si>
  <si>
    <t>Masaki Kobayashi</t>
  </si>
  <si>
    <t>Action, Drama, Mystery</t>
  </si>
  <si>
    <t>Sita Ramam</t>
  </si>
  <si>
    <t>Hanu Raghavapudi</t>
  </si>
  <si>
    <t>Back to the Future</t>
  </si>
  <si>
    <t>Adventure, Comedy, Sci-Fi</t>
  </si>
  <si>
    <t>The Departed</t>
  </si>
  <si>
    <t>Gladiator</t>
  </si>
  <si>
    <t>Ridley Scott</t>
  </si>
  <si>
    <t>Alien</t>
  </si>
  <si>
    <t>Horror, Sci-Fi</t>
  </si>
  <si>
    <t>Parasite</t>
  </si>
  <si>
    <t>Bong Joon Ho</t>
  </si>
  <si>
    <t>Drama, Thriller</t>
  </si>
  <si>
    <t>The Prestige</t>
  </si>
  <si>
    <t>Drama, Mystery, Sci-Fi</t>
  </si>
  <si>
    <t>Whiplash</t>
  </si>
  <si>
    <t>Damien Chazelle</t>
  </si>
  <si>
    <t>Drama, Music</t>
  </si>
  <si>
    <t>Luc Besson</t>
  </si>
  <si>
    <t>The Lion King</t>
  </si>
  <si>
    <t>Roger Allers</t>
  </si>
  <si>
    <t>Animation, Adventure, Drama</t>
  </si>
  <si>
    <t>The Usual Suspects</t>
  </si>
  <si>
    <t>Bryan Singer</t>
  </si>
  <si>
    <t>Casablanca</t>
  </si>
  <si>
    <t>Michael Curtiz</t>
  </si>
  <si>
    <t>Drama, Romance, War</t>
  </si>
  <si>
    <t>American History X</t>
  </si>
  <si>
    <t>Tony Kaye</t>
  </si>
  <si>
    <t>Psycho</t>
  </si>
  <si>
    <t>Alfred Hitchcock</t>
  </si>
  <si>
    <t>Horror, Mystery, Thriller</t>
  </si>
  <si>
    <t>The Pianist</t>
  </si>
  <si>
    <t>Roman Polanski</t>
  </si>
  <si>
    <t>Biography, Drama, Music</t>
  </si>
  <si>
    <t>The Intouchables</t>
  </si>
  <si>
    <t>Olivier Nakache</t>
  </si>
  <si>
    <t>Biography, Comedy, Drama</t>
  </si>
  <si>
    <t>Once Upon a Time in the West</t>
  </si>
  <si>
    <t>Western</t>
  </si>
  <si>
    <t>Grave of the Fireflies</t>
  </si>
  <si>
    <t>Isao Takahata</t>
  </si>
  <si>
    <t>Animation, Drama, War</t>
  </si>
  <si>
    <t>Rear Window</t>
  </si>
  <si>
    <t>Mystery, Thriller</t>
  </si>
  <si>
    <t>Cinema Paradiso</t>
  </si>
  <si>
    <t>Giuseppe Tornatore</t>
  </si>
  <si>
    <t>Modern Times</t>
  </si>
  <si>
    <t>Charles Chaplin</t>
  </si>
  <si>
    <t>City Lights</t>
  </si>
  <si>
    <t>96</t>
  </si>
  <si>
    <t>C. Prem Kumar</t>
  </si>
  <si>
    <t>Indiana Jones and the Raiders of the Lost Ark</t>
  </si>
  <si>
    <t>Action, Adventure</t>
  </si>
  <si>
    <t>Spider-Man: Into the Spider-Verse</t>
  </si>
  <si>
    <t>Bob Persichetti</t>
  </si>
  <si>
    <t>Animation, Action, Adventure</t>
  </si>
  <si>
    <t>Avengers: Endgame</t>
  </si>
  <si>
    <t>Anthony Russo</t>
  </si>
  <si>
    <t>Django Unchained</t>
  </si>
  <si>
    <t>Drama, Western</t>
  </si>
  <si>
    <t>Apocalypse Now</t>
  </si>
  <si>
    <t>Drama, Mystery, War</t>
  </si>
  <si>
    <t>Aliens</t>
  </si>
  <si>
    <t>Joker</t>
  </si>
  <si>
    <t>Todd Phillips</t>
  </si>
  <si>
    <t>The Dark Knight Rises</t>
  </si>
  <si>
    <t>Action, Drama, Thriller</t>
  </si>
  <si>
    <t>Avengers: Infinity War</t>
  </si>
  <si>
    <t>The Shining</t>
  </si>
  <si>
    <t>Stanley Kubrick</t>
  </si>
  <si>
    <t>Drama, Horror</t>
  </si>
  <si>
    <t>Oldboy</t>
  </si>
  <si>
    <t>Park Chan-wook</t>
  </si>
  <si>
    <t>Memento</t>
  </si>
  <si>
    <t>Amadeus</t>
  </si>
  <si>
    <t>Come and See</t>
  </si>
  <si>
    <t>Elem Klimov</t>
  </si>
  <si>
    <t>Drama, Thriller, War</t>
  </si>
  <si>
    <t>Coco</t>
  </si>
  <si>
    <t>Lee Unkrich</t>
  </si>
  <si>
    <t>Your Name.</t>
  </si>
  <si>
    <t>Makoto Shinkai</t>
  </si>
  <si>
    <t>Animation, Drama, Fantasy</t>
  </si>
  <si>
    <t>Andrew Stanton</t>
  </si>
  <si>
    <t>3 Idiots</t>
  </si>
  <si>
    <t>Rajkumar Hirani</t>
  </si>
  <si>
    <t>Comedy, Drama</t>
  </si>
  <si>
    <t>The Lives of Others</t>
  </si>
  <si>
    <t>Florian Henckel von Donnersmarck</t>
  </si>
  <si>
    <t>Drama, Mystery, Thriller</t>
  </si>
  <si>
    <t>Dr. Strangelove or: How I Learned to Stop Worrying and Love the Bomb</t>
  </si>
  <si>
    <t>Comedy, War</t>
  </si>
  <si>
    <t>Das Boot</t>
  </si>
  <si>
    <t>Wolfgang Petersen</t>
  </si>
  <si>
    <t>Capernaum</t>
  </si>
  <si>
    <t>Nadine Labaki</t>
  </si>
  <si>
    <t>Sunset Blvd.</t>
  </si>
  <si>
    <t>Billy Wilder</t>
  </si>
  <si>
    <t>Drama, Film-Noir</t>
  </si>
  <si>
    <t>Paths of Glory</t>
  </si>
  <si>
    <t>Witness for the Prosecution</t>
  </si>
  <si>
    <t>The Great Dictator</t>
  </si>
  <si>
    <t>Comedy, Drama, War</t>
  </si>
  <si>
    <t>High and Low</t>
  </si>
  <si>
    <t>Kaithi</t>
  </si>
  <si>
    <t>Lokesh Kanagaraj</t>
  </si>
  <si>
    <t>Action, Adventure, Crime</t>
  </si>
  <si>
    <t>Sardar Udham</t>
  </si>
  <si>
    <t>Shoojit Sircar</t>
  </si>
  <si>
    <t>Asuran</t>
  </si>
  <si>
    <t>Vetrimaaran</t>
  </si>
  <si>
    <t>Drishyam 2</t>
  </si>
  <si>
    <t>Jeethu Joseph</t>
  </si>
  <si>
    <t>Top Gun: Maverick</t>
  </si>
  <si>
    <t>Joseph Kosinski</t>
  </si>
  <si>
    <t>Heat</t>
  </si>
  <si>
    <t>Michael Mann</t>
  </si>
  <si>
    <t>Inglourious Basterds</t>
  </si>
  <si>
    <t>Adventure, Drama, War</t>
  </si>
  <si>
    <t>Full Metal Jacket</t>
  </si>
  <si>
    <t>Scarface</t>
  </si>
  <si>
    <t>Brian De Palma</t>
  </si>
  <si>
    <t>American Beauty</t>
  </si>
  <si>
    <t>Sam Mendes</t>
  </si>
  <si>
    <t>Requiem for a Dream</t>
  </si>
  <si>
    <t>Darren Aronofsky</t>
  </si>
  <si>
    <t>Good Will Hunting</t>
  </si>
  <si>
    <t>Gus Van Sant</t>
  </si>
  <si>
    <t>Eternal Sunshine of the Spotless Mind</t>
  </si>
  <si>
    <t>Michel Gondry</t>
  </si>
  <si>
    <t>Drama, Romance, Sci-Fi</t>
  </si>
  <si>
    <t>A Clockwork Orange</t>
  </si>
  <si>
    <t>Crime, Sci-Fi</t>
  </si>
  <si>
    <t>Vertigo</t>
  </si>
  <si>
    <t>Mystery, Romance, Thriller</t>
  </si>
  <si>
    <t>Braveheart</t>
  </si>
  <si>
    <t>Mel Gibson</t>
  </si>
  <si>
    <t>2001: A Space Odyssey</t>
  </si>
  <si>
    <t>Adventure, Sci-Fi</t>
  </si>
  <si>
    <t>Reservoir Dogs</t>
  </si>
  <si>
    <t>Crime, Thriller</t>
  </si>
  <si>
    <t>Once Upon a Time in America</t>
  </si>
  <si>
    <t>The Hunt</t>
  </si>
  <si>
    <t>Thomas Vinterberg</t>
  </si>
  <si>
    <t>Toy Story</t>
  </si>
  <si>
    <t>John Lasseter</t>
  </si>
  <si>
    <t>Animation, Adventure, Comedy</t>
  </si>
  <si>
    <t>Hamilton</t>
  </si>
  <si>
    <t>Thomas Kail</t>
  </si>
  <si>
    <t>Up</t>
  </si>
  <si>
    <t>Pete Docter</t>
  </si>
  <si>
    <t>Star Wars: Episode VI - Return of the Jedi</t>
  </si>
  <si>
    <t>Richard Marquand</t>
  </si>
  <si>
    <t>Jean-Pierre Jeunet</t>
  </si>
  <si>
    <t>Comedy, Romance</t>
  </si>
  <si>
    <t>Incendies</t>
  </si>
  <si>
    <t>Denis Villeneuve</t>
  </si>
  <si>
    <t>Drama, Mystery</t>
  </si>
  <si>
    <t>Lawrence of Arabia</t>
  </si>
  <si>
    <t>David Lean</t>
  </si>
  <si>
    <t>Adventure, Biography, Drama</t>
  </si>
  <si>
    <t>Toy Story 3</t>
  </si>
  <si>
    <t>WALL-E</t>
  </si>
  <si>
    <t>Leon: The Professional</t>
  </si>
  <si>
    <t>Movie_Count</t>
  </si>
  <si>
    <t>Avg_Rating</t>
  </si>
  <si>
    <t>Avg_Metascore</t>
  </si>
  <si>
    <t>Total_Gross</t>
  </si>
  <si>
    <t>Amelie</t>
  </si>
  <si>
    <t>Rating_Level</t>
  </si>
  <si>
    <t>Metascore_Level</t>
  </si>
  <si>
    <t>Avg_Gross</t>
  </si>
  <si>
    <t>Gross_Level</t>
  </si>
  <si>
    <t>Overall_Class</t>
  </si>
  <si>
    <t>Overall_Score</t>
  </si>
  <si>
    <t>High</t>
  </si>
  <si>
    <t>Low</t>
  </si>
  <si>
    <t>ABA</t>
  </si>
  <si>
    <t>Crime</t>
  </si>
  <si>
    <t>Action</t>
  </si>
  <si>
    <t>Biography</t>
  </si>
  <si>
    <t>ABB</t>
  </si>
  <si>
    <t>History</t>
  </si>
  <si>
    <t>AAB</t>
  </si>
  <si>
    <t>Adventure</t>
  </si>
  <si>
    <t>AAA</t>
  </si>
  <si>
    <t>Sci-Fi</t>
  </si>
  <si>
    <t>Romance</t>
  </si>
  <si>
    <t>BBB</t>
  </si>
  <si>
    <t>Fantasy</t>
  </si>
  <si>
    <t>Mystery</t>
  </si>
  <si>
    <t>BAB</t>
  </si>
  <si>
    <t>War</t>
  </si>
  <si>
    <t>Thriller</t>
  </si>
  <si>
    <t>BBA</t>
  </si>
  <si>
    <t>Animation</t>
  </si>
  <si>
    <t>BAA</t>
  </si>
  <si>
    <t>Family</t>
  </si>
  <si>
    <t>Comedy</t>
  </si>
  <si>
    <t>Horror</t>
  </si>
  <si>
    <t>Music</t>
  </si>
  <si>
    <t>Film-Noir</t>
  </si>
  <si>
    <t>Count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</si>
  <si>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</si>
  <si>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</si>
  <si>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</si>
  <si>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</si>
  <si>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</si>
  <si>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</si>
  <si>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</si>
  <si>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</si>
  <si>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</si>
  <si>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</si>
  <si>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</si>
  <si>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</si>
  <si>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</si>
  <si>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</si>
  <si>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</si>
  <si>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</si>
  <si>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</si>
  <si>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</si>
  <si>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</si>
  <si>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</si>
  <si>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</si>
  <si>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</si>
  <si>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</si>
  <si>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None of the predictors have P-value &lt; 0.05 → No variable individually explains revenue.</t>
  </si>
  <si>
    <t>“Regression analysis reveals that Rating, Metascore, and Runtime together explain only 3.6% of revenue variance (R²=0.036). None of these variables are statistically significant (p&gt;0.05). This suggests that critical reception and runtime alone do not drive box office success. Future models should incorporate additional business factors (marketing budgets, genre, franchise status, director popularity, etc.).”</t>
  </si>
  <si>
    <t>Runtime and Gross</t>
  </si>
  <si>
    <t>Rating and Gross</t>
  </si>
  <si>
    <t>Metascore and Gross</t>
  </si>
  <si>
    <t>Correlations</t>
  </si>
  <si>
    <t>Only 3,6% of Gross is explained by Runtime + Rating + Metascore → VERY weak model</t>
  </si>
  <si>
    <t>After adjusting (as n&lt;100), it's almost 0 → model explains almost nothing</t>
  </si>
  <si>
    <t>Significance F &gt; 0.05 → The overall model is NOT statistically significant</t>
  </si>
  <si>
    <t>Coeff are slight positive but still meaningless and not significant</t>
  </si>
  <si>
    <t>Top Rounded Director (Placed Top 5 in Rating, Metascore, and Gross)</t>
  </si>
  <si>
    <t>Rating Rank</t>
  </si>
  <si>
    <t>Metascore Rank</t>
  </si>
  <si>
    <t>Gross Rank</t>
  </si>
  <si>
    <t>Top Score Director</t>
  </si>
  <si>
    <t>Top Rating</t>
  </si>
  <si>
    <t>Top Metascore</t>
  </si>
  <si>
    <t>Top Gross</t>
  </si>
  <si>
    <t>Avg Rating</t>
  </si>
  <si>
    <t>Avg Metascore</t>
  </si>
  <si>
    <t>Avg Gross</t>
  </si>
  <si>
    <t>Correlations, Regression, and ANOVA</t>
  </si>
  <si>
    <t>R²</t>
  </si>
  <si>
    <r>
      <t>Adjusted R</t>
    </r>
    <r>
      <rPr>
        <sz val="11"/>
        <color theme="0"/>
        <rFont val="Calibri"/>
        <family val="2"/>
      </rPr>
      <t>²</t>
    </r>
  </si>
  <si>
    <t>Genre Summary by Analysed Class</t>
  </si>
  <si>
    <t>title</t>
  </si>
  <si>
    <t>director</t>
  </si>
  <si>
    <t>release_year</t>
  </si>
  <si>
    <t>runtime</t>
  </si>
  <si>
    <t>genre</t>
  </si>
  <si>
    <t>rating</t>
  </si>
  <si>
    <t>metascore</t>
  </si>
  <si>
    <t>gross</t>
  </si>
  <si>
    <t>142 min</t>
  </si>
  <si>
    <t>9.3</t>
  </si>
  <si>
    <t>$28.34M</t>
  </si>
  <si>
    <t>175 min</t>
  </si>
  <si>
    <t>9.2</t>
  </si>
  <si>
    <t>$134.97M</t>
  </si>
  <si>
    <t>152 min</t>
  </si>
  <si>
    <t>9.0</t>
  </si>
  <si>
    <t>$534.86M</t>
  </si>
  <si>
    <t>195 min</t>
  </si>
  <si>
    <t>$96.90M</t>
  </si>
  <si>
    <t>96 min</t>
  </si>
  <si>
    <t>$4.36M</t>
  </si>
  <si>
    <t>201 min</t>
  </si>
  <si>
    <t>$377.85M</t>
  </si>
  <si>
    <t>202 min</t>
  </si>
  <si>
    <t>$57.30M</t>
  </si>
  <si>
    <t>154 min</t>
  </si>
  <si>
    <t>8.9</t>
  </si>
  <si>
    <t>$107.93M</t>
  </si>
  <si>
    <t>148 min</t>
  </si>
  <si>
    <t>8.8</t>
  </si>
  <si>
    <t>$292.58M</t>
  </si>
  <si>
    <t>178 min</t>
  </si>
  <si>
    <t>$315.54M</t>
  </si>
  <si>
    <t>139 min</t>
  </si>
  <si>
    <t>$37.03M</t>
  </si>
  <si>
    <t>$330.25M</t>
  </si>
  <si>
    <t>$6.10M</t>
  </si>
  <si>
    <t>179 min</t>
  </si>
  <si>
    <t>$342.55M</t>
  </si>
  <si>
    <t>169 min</t>
  </si>
  <si>
    <t>8.7</t>
  </si>
  <si>
    <t>$188.02M</t>
  </si>
  <si>
    <t>145 min</t>
  </si>
  <si>
    <t>$46.84M</t>
  </si>
  <si>
    <t>136 min</t>
  </si>
  <si>
    <t>$171.48M</t>
  </si>
  <si>
    <t>133 min</t>
  </si>
  <si>
    <t>$112.00M</t>
  </si>
  <si>
    <t>124 min</t>
  </si>
  <si>
    <t>$290.48M</t>
  </si>
  <si>
    <t>189 min</t>
  </si>
  <si>
    <t>8.6</t>
  </si>
  <si>
    <t>$136.80M</t>
  </si>
  <si>
    <t>137 min</t>
  </si>
  <si>
    <t>$204.84M</t>
  </si>
  <si>
    <t>127 min</t>
  </si>
  <si>
    <t>$100.13M</t>
  </si>
  <si>
    <t>$216.54M</t>
  </si>
  <si>
    <t>118 min</t>
  </si>
  <si>
    <t>$130.74M</t>
  </si>
  <si>
    <t>121 min</t>
  </si>
  <si>
    <t>$322.74M</t>
  </si>
  <si>
    <t>125 min</t>
  </si>
  <si>
    <t>$10.06M</t>
  </si>
  <si>
    <t>130 min</t>
  </si>
  <si>
    <t>$7.56M</t>
  </si>
  <si>
    <t>116 min</t>
  </si>
  <si>
    <t>$57.60M</t>
  </si>
  <si>
    <t>207 min</t>
  </si>
  <si>
    <t>$0.27M</t>
  </si>
  <si>
    <t>163 min</t>
  </si>
  <si>
    <t>8.5</t>
  </si>
  <si>
    <t>$210.61M</t>
  </si>
  <si>
    <t>151 min</t>
  </si>
  <si>
    <t>$132.38M</t>
  </si>
  <si>
    <t>155 min</t>
  </si>
  <si>
    <t>$187.71M</t>
  </si>
  <si>
    <t>117 min</t>
  </si>
  <si>
    <t>$78.90M</t>
  </si>
  <si>
    <t>132 min</t>
  </si>
  <si>
    <t>$53.37M</t>
  </si>
  <si>
    <t>$53.09M</t>
  </si>
  <si>
    <t>106 min</t>
  </si>
  <si>
    <t>$13.09M</t>
  </si>
  <si>
    <t>LÃ©on: The Professional</t>
  </si>
  <si>
    <t>110 min</t>
  </si>
  <si>
    <t>$19.50M</t>
  </si>
  <si>
    <t>88 min</t>
  </si>
  <si>
    <t>$422.78M</t>
  </si>
  <si>
    <t>$23.34M</t>
  </si>
  <si>
    <t>102 min</t>
  </si>
  <si>
    <t>$1.02M</t>
  </si>
  <si>
    <t>119 min</t>
  </si>
  <si>
    <t>$6.72M</t>
  </si>
  <si>
    <t>109 min</t>
  </si>
  <si>
    <t>$32.00M</t>
  </si>
  <si>
    <t>150 min</t>
  </si>
  <si>
    <t>$32.57M</t>
  </si>
  <si>
    <t>112 min</t>
  </si>
  <si>
    <t>$13.18M</t>
  </si>
  <si>
    <t>165 min</t>
  </si>
  <si>
    <t>$5.32M</t>
  </si>
  <si>
    <t>89 min</t>
  </si>
  <si>
    <t>$36.76M</t>
  </si>
  <si>
    <t>$11.99M</t>
  </si>
  <si>
    <t>87 min</t>
  </si>
  <si>
    <t>$0.16M</t>
  </si>
  <si>
    <t>$0.02M</t>
  </si>
  <si>
    <t>(II) (2018)</t>
  </si>
  <si>
    <t>158 min</t>
  </si>
  <si>
    <t>115 min</t>
  </si>
  <si>
    <t>8.4</t>
  </si>
  <si>
    <t>$248.16M</t>
  </si>
  <si>
    <t>$190.24M</t>
  </si>
  <si>
    <t>181 min</t>
  </si>
  <si>
    <t>$858.37M</t>
  </si>
  <si>
    <t>$162.81M</t>
  </si>
  <si>
    <t>147 min</t>
  </si>
  <si>
    <t>$83.47M</t>
  </si>
  <si>
    <t>$85.16M</t>
  </si>
  <si>
    <t>(I) (2019)</t>
  </si>
  <si>
    <t>122 min</t>
  </si>
  <si>
    <t>$335.45M</t>
  </si>
  <si>
    <t>164 min</t>
  </si>
  <si>
    <t>$448.14M</t>
  </si>
  <si>
    <t>149 min</t>
  </si>
  <si>
    <t>$678.82M</t>
  </si>
  <si>
    <t>146 min</t>
  </si>
  <si>
    <t>$44.02M</t>
  </si>
  <si>
    <t>120 min</t>
  </si>
  <si>
    <t>$0.71M</t>
  </si>
  <si>
    <t>113 min</t>
  </si>
  <si>
    <t>$25.54M</t>
  </si>
  <si>
    <t>160 min</t>
  </si>
  <si>
    <t>$51.97M</t>
  </si>
  <si>
    <t>(I) (2017)</t>
  </si>
  <si>
    <t>105 min</t>
  </si>
  <si>
    <t>$209.73M</t>
  </si>
  <si>
    <t>$5.02M</t>
  </si>
  <si>
    <t>WALLÂ·E</t>
  </si>
  <si>
    <t>98 min</t>
  </si>
  <si>
    <t>$223.81M</t>
  </si>
  <si>
    <t>170 min</t>
  </si>
  <si>
    <t>$6.53M</t>
  </si>
  <si>
    <t>$11.29M</t>
  </si>
  <si>
    <t>95 min</t>
  </si>
  <si>
    <t>$0.28M</t>
  </si>
  <si>
    <t>$11.49M</t>
  </si>
  <si>
    <t>126 min</t>
  </si>
  <si>
    <t>$1.66M</t>
  </si>
  <si>
    <t>$8.18M</t>
  </si>
  <si>
    <t>$0.29M</t>
  </si>
  <si>
    <t>143 min</t>
  </si>
  <si>
    <t>141 min</t>
  </si>
  <si>
    <t>8.3</t>
  </si>
  <si>
    <t>$718.73M</t>
  </si>
  <si>
    <t>$67.44M</t>
  </si>
  <si>
    <t>153 min</t>
  </si>
  <si>
    <t>$120.54M</t>
  </si>
  <si>
    <t>$46.36M</t>
  </si>
  <si>
    <t>$45.60M</t>
  </si>
  <si>
    <t>$130.10M</t>
  </si>
  <si>
    <t>$3.64M</t>
  </si>
  <si>
    <t>$138.43M</t>
  </si>
  <si>
    <t>108 min</t>
  </si>
  <si>
    <t>$34.40M</t>
  </si>
  <si>
    <t>$6.21M</t>
  </si>
  <si>
    <t>128 min</t>
  </si>
  <si>
    <t>$3.20M</t>
  </si>
  <si>
    <t>$75.60M</t>
  </si>
  <si>
    <t>$56.95M</t>
  </si>
  <si>
    <t>99 min</t>
  </si>
  <si>
    <t>$2.83M</t>
  </si>
  <si>
    <t>229 min</t>
  </si>
  <si>
    <t>$0.69M</t>
  </si>
  <si>
    <t>81 min</t>
  </si>
  <si>
    <t>$191.80M</t>
  </si>
  <si>
    <t>$293.00M</t>
  </si>
  <si>
    <t>131 min</t>
  </si>
  <si>
    <t>$309.13M</t>
  </si>
  <si>
    <t>AmÃ©lie</t>
  </si>
  <si>
    <t>$33.23M</t>
  </si>
  <si>
    <t>$6.86M</t>
  </si>
  <si>
    <t>218 min</t>
  </si>
  <si>
    <t>$44.82M</t>
  </si>
  <si>
    <t>103 min</t>
  </si>
  <si>
    <t>$415.00M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</si>
</sst>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0.0"/>
    <numFmt numFmtId="166" formatCode="0.000"/>
  </numFmts>
  <fonts count="10" x14ac:knownFonts="1">
    <font>
      <sz val="11"/>
      <color theme="1"/>
      <name val="Calibri"/>
      <family val="2"/>
      <charset val="1"/>
      <scheme val="minor"/>
    </font>
    <font>
      <sz val="8"/>
      <name val="Calibri"/>
      <family val="2"/>
      <charset val="1"/>
      <scheme val="minor"/>
    </font>
    <font>
      <b/>
      <sz val="11"/>
      <color theme="0"/>
      <name val="Calibri"/>
      <family val="2"/>
      <charset val="1"/>
      <scheme val="minor"/>
    </font>
    <font>
      <i/>
      <sz val="11"/>
      <color theme="1"/>
      <name val="Calibri"/>
      <family val="2"/>
      <charset val="1"/>
      <scheme val="minor"/>
    </font>
    <font>
      <sz val="11"/>
      <color theme="0"/>
      <name val="Calibri"/>
      <family val="2"/>
      <charset val="1"/>
      <scheme val="minor"/>
    </font>
    <font>
      <sz val="11"/>
      <color theme="0"/>
      <name val="Calibri"/>
      <family val="2"/>
      <scheme val="minor"/>
    </font>
    <font>
      <sz val="11"/>
      <color theme="0"/>
      <name val="Calibri"/>
      <family val="2"/>
    </font>
    <font>
      <b/>
      <i/>
      <sz val="11"/>
      <color theme="0"/>
      <name val="Calibri"/>
      <family val="2"/>
      <scheme val="minor"/>
    </font>
    <font>
      <sz val="11"/>
      <color theme="1"/>
      <name val="Calibri"/>
      <family val="2"/>
      <scheme val="minor"/>
    </font>
    <font>
      <b/>
      <sz val="11"/>
      <color theme="0"/>
      <name val="Calibri"/>
      <family val="2"/>
      <scheme val="minor"/>
    </font>
  </fonts>
  <fills count="8">
    <fill>
      <patternFill patternType="none"/>
    </fill>
    <fill>
      <patternFill patternType="gray125"/>
    </fill>
    <fill>
      <patternFill patternType="solid">
        <fgColor theme="4"/>
        <bgColor theme="4"/>
      </patternFill>
    </fill>
    <fill>
      <patternFill patternType="solid">
        <fgColor rgb="FF0070C0"/>
        <bgColor theme="9"/>
      </patternFill>
    </fill>
    <fill>
      <patternFill patternType="solid">
        <fgColor rgb="FF0070C0"/>
        <bgColor indexed="64"/>
      </patternFill>
    </fill>
    <fill>
      <patternFill patternType="solid">
        <fgColor theme="0"/>
        <bgColor indexed="64"/>
      </patternFill>
    </fill>
    <fill>
      <patternFill patternType="solid">
        <fgColor theme="4"/>
        <bgColor indexed="64"/>
      </patternFill>
    </fill>
    <fill>
      <patternFill patternType="solid">
        <fgColor theme="9"/>
        <bgColor theme="9"/>
      </patternFill>
    </fill>
  </fills>
  <borders count="23">
    <border>
      <left/>
      <right/>
      <top/>
      <bottom/>
      <diagonal/>
    </border>
    <border>
      <left/>
      <right/>
      <top style="thin">
        <color theme="4"/>
      </top>
      <bottom/>
      <diagonal/>
    </border>
    <border>
      <left/>
      <right style="thin">
        <color theme="4"/>
      </right>
      <top style="thin">
        <color theme="4"/>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theme="4"/>
      </top>
      <bottom style="medium">
        <color indexed="64"/>
      </bottom>
      <diagonal/>
    </border>
    <border>
      <left/>
      <right style="thin">
        <color theme="4"/>
      </right>
      <top style="thin">
        <color theme="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s>
  <cellStyleXfs count="2">
    <xf numFmtId="0" fontId="0" fillId="0" borderId="0"/>
    <xf numFmtId="0" fontId="8" fillId="0" borderId="0"/>
  </cellStyleXfs>
  <cellXfs count="89">
    <xf numFmtId="0" fontId="0" fillId="0" borderId="0" xfId="0"/>
    <xf numFmtId="0"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NumberFormat="1" applyAlignment="1">
      <alignment horizontal="left"/>
    </xf>
    <xf numFmtId="164" fontId="0" fillId="0" borderId="0" xfId="0" applyNumberFormat="1" applyAlignment="1">
      <alignment horizontal="center" vertical="center"/>
    </xf>
    <xf numFmtId="164" fontId="0" fillId="0" borderId="0" xfId="0" applyNumberFormat="1"/>
    <xf numFmtId="165" fontId="0" fillId="0" borderId="0" xfId="0" applyNumberFormat="1" applyAlignment="1">
      <alignment horizontal="center" vertical="center"/>
    </xf>
    <xf numFmtId="165" fontId="0" fillId="0" borderId="0" xfId="0" applyNumberFormat="1" applyAlignment="1">
      <alignment horizontal="center"/>
    </xf>
    <xf numFmtId="1" fontId="0" fillId="0" borderId="0" xfId="0" applyNumberFormat="1" applyAlignment="1">
      <alignment horizontal="center" vertical="center"/>
    </xf>
    <xf numFmtId="1" fontId="0" fillId="0" borderId="0" xfId="0" applyNumberFormat="1" applyAlignment="1">
      <alignment horizontal="center"/>
    </xf>
    <xf numFmtId="49" fontId="0" fillId="0" borderId="0" xfId="0" applyNumberFormat="1" applyAlignment="1">
      <alignment horizontal="center" vertical="center"/>
    </xf>
    <xf numFmtId="49" fontId="0" fillId="0" borderId="0" xfId="0" applyNumberFormat="1"/>
    <xf numFmtId="49" fontId="0" fillId="0" borderId="0" xfId="0" applyNumberFormat="1" applyAlignment="1">
      <alignment horizontal="left"/>
    </xf>
    <xf numFmtId="0" fontId="0" fillId="0" borderId="0" xfId="0" applyNumberFormat="1" applyAlignment="1">
      <alignment horizontal="center"/>
    </xf>
    <xf numFmtId="2" fontId="0" fillId="0" borderId="0" xfId="0" applyNumberFormat="1"/>
    <xf numFmtId="1" fontId="0" fillId="0" borderId="0" xfId="0" applyNumberFormat="1"/>
    <xf numFmtId="0" fontId="0" fillId="0" borderId="0" xfId="0" applyFill="1" applyBorder="1" applyAlignment="1"/>
    <xf numFmtId="0" fontId="0" fillId="0" borderId="4" xfId="0" applyFill="1" applyBorder="1" applyAlignment="1"/>
    <xf numFmtId="0" fontId="3" fillId="0" borderId="5" xfId="0" applyFont="1" applyFill="1" applyBorder="1" applyAlignment="1">
      <alignment horizontal="center"/>
    </xf>
    <xf numFmtId="0" fontId="0" fillId="0" borderId="6" xfId="0" applyBorder="1"/>
    <xf numFmtId="0" fontId="0" fillId="0" borderId="6" xfId="0" applyFill="1" applyBorder="1" applyAlignment="1"/>
    <xf numFmtId="166" fontId="0" fillId="0" borderId="6" xfId="0" applyNumberFormat="1" applyFill="1" applyBorder="1" applyAlignment="1"/>
    <xf numFmtId="0" fontId="0" fillId="0" borderId="0" xfId="0" applyFill="1"/>
    <xf numFmtId="164" fontId="0" fillId="0" borderId="6" xfId="0" applyNumberFormat="1" applyBorder="1"/>
    <xf numFmtId="2" fontId="2" fillId="0" borderId="0" xfId="0" applyNumberFormat="1" applyFont="1" applyFill="1" applyBorder="1" applyAlignment="1"/>
    <xf numFmtId="0" fontId="0" fillId="0" borderId="11" xfId="0" applyBorder="1"/>
    <xf numFmtId="0" fontId="0" fillId="0" borderId="13" xfId="0" applyBorder="1"/>
    <xf numFmtId="0" fontId="0" fillId="0" borderId="14" xfId="0" applyBorder="1"/>
    <xf numFmtId="0" fontId="0" fillId="0" borderId="12" xfId="0" applyBorder="1"/>
    <xf numFmtId="0" fontId="0" fillId="0" borderId="15" xfId="0" applyBorder="1"/>
    <xf numFmtId="0" fontId="4" fillId="4" borderId="6" xfId="0" applyFont="1" applyFill="1" applyBorder="1" applyAlignment="1">
      <alignment horizontal="center" vertical="center"/>
    </xf>
    <xf numFmtId="0" fontId="0" fillId="0" borderId="6" xfId="0" applyBorder="1" applyAlignment="1">
      <alignment horizontal="center"/>
    </xf>
    <xf numFmtId="0" fontId="0" fillId="0" borderId="6" xfId="0" applyBorder="1" applyAlignment="1">
      <alignment horizontal="center" vertical="center"/>
    </xf>
    <xf numFmtId="2" fontId="0" fillId="0" borderId="6" xfId="0" applyNumberFormat="1" applyBorder="1" applyAlignment="1">
      <alignment horizontal="center" vertical="center"/>
    </xf>
    <xf numFmtId="165" fontId="0" fillId="0" borderId="6" xfId="0" applyNumberFormat="1" applyBorder="1" applyAlignment="1">
      <alignment horizontal="center" vertical="center"/>
    </xf>
    <xf numFmtId="0" fontId="0" fillId="0" borderId="6" xfId="0" applyNumberFormat="1" applyFont="1" applyFill="1" applyBorder="1"/>
    <xf numFmtId="166" fontId="0" fillId="5" borderId="6" xfId="0" applyNumberFormat="1" applyFill="1" applyBorder="1" applyAlignment="1">
      <alignment horizontal="center"/>
    </xf>
    <xf numFmtId="166" fontId="0" fillId="5" borderId="6" xfId="0" applyNumberFormat="1" applyFill="1" applyBorder="1" applyAlignment="1"/>
    <xf numFmtId="0" fontId="5" fillId="4" borderId="6" xfId="0" applyFont="1" applyFill="1" applyBorder="1" applyAlignment="1">
      <alignment horizontal="center" vertical="center"/>
    </xf>
    <xf numFmtId="0" fontId="7" fillId="6" borderId="6" xfId="0" applyFont="1" applyFill="1" applyBorder="1" applyAlignment="1">
      <alignment horizontal="center"/>
    </xf>
    <xf numFmtId="0" fontId="0" fillId="0" borderId="0" xfId="0" applyFill="1" applyBorder="1" applyAlignment="1">
      <alignment wrapText="1"/>
    </xf>
    <xf numFmtId="0" fontId="0" fillId="0" borderId="0" xfId="0" applyFill="1" applyBorder="1"/>
    <xf numFmtId="0" fontId="0" fillId="0" borderId="0" xfId="0" applyFill="1" applyBorder="1" applyAlignment="1">
      <alignment horizontal="center" wrapText="1"/>
    </xf>
    <xf numFmtId="0" fontId="0" fillId="0" borderId="0" xfId="0" applyBorder="1"/>
    <xf numFmtId="0" fontId="3" fillId="0" borderId="0" xfId="0" applyFont="1" applyFill="1" applyBorder="1" applyAlignment="1">
      <alignment horizontal="center"/>
    </xf>
    <xf numFmtId="164" fontId="2" fillId="0" borderId="0" xfId="0" applyNumberFormat="1" applyFont="1" applyFill="1" applyBorder="1" applyAlignment="1">
      <alignment horizontal="center" vertical="center"/>
    </xf>
    <xf numFmtId="0" fontId="0" fillId="0" borderId="0" xfId="0" applyFill="1" applyBorder="1" applyAlignment="1">
      <alignment horizontal="center" vertical="center"/>
    </xf>
    <xf numFmtId="164" fontId="0" fillId="0" borderId="0" xfId="0" applyNumberFormat="1" applyFill="1" applyBorder="1" applyAlignment="1">
      <alignment horizontal="center" vertical="center"/>
    </xf>
    <xf numFmtId="164" fontId="0" fillId="0" borderId="0" xfId="0" applyNumberFormat="1" applyFill="1" applyBorder="1" applyAlignment="1">
      <alignment horizontal="center" vertical="center" wrapText="1"/>
    </xf>
    <xf numFmtId="0" fontId="0" fillId="0" borderId="0" xfId="0" applyFill="1" applyBorder="1" applyAlignment="1">
      <alignment horizontal="center" vertical="center" wrapText="1"/>
    </xf>
    <xf numFmtId="164" fontId="0" fillId="0" borderId="6" xfId="0" applyNumberFormat="1" applyBorder="1" applyAlignment="1">
      <alignment horizontal="center" vertical="center"/>
    </xf>
    <xf numFmtId="0" fontId="0" fillId="0" borderId="6" xfId="0" applyBorder="1" applyAlignment="1">
      <alignment horizontal="left"/>
    </xf>
    <xf numFmtId="164" fontId="0" fillId="0" borderId="6" xfId="0" applyNumberFormat="1" applyBorder="1" applyAlignment="1">
      <alignment horizontal="right" vertical="center"/>
    </xf>
    <xf numFmtId="0" fontId="0" fillId="0" borderId="13" xfId="0" applyFill="1" applyBorder="1"/>
    <xf numFmtId="0" fontId="0" fillId="0" borderId="13" xfId="0" applyFill="1" applyBorder="1" applyAlignment="1">
      <alignment horizontal="center" wrapText="1"/>
    </xf>
    <xf numFmtId="0" fontId="0" fillId="0" borderId="15" xfId="0" applyBorder="1" applyAlignment="1">
      <alignment horizontal="center" vertical="center"/>
    </xf>
    <xf numFmtId="164" fontId="0" fillId="0" borderId="15" xfId="0" applyNumberFormat="1" applyBorder="1" applyAlignment="1">
      <alignment horizontal="center" vertical="center"/>
    </xf>
    <xf numFmtId="0" fontId="0" fillId="0" borderId="0" xfId="0" applyBorder="1" applyAlignment="1">
      <alignment horizontal="center" vertical="center"/>
    </xf>
    <xf numFmtId="164" fontId="0" fillId="0" borderId="0" xfId="0" applyNumberFormat="1" applyBorder="1" applyAlignment="1">
      <alignment horizontal="center" vertical="center"/>
    </xf>
    <xf numFmtId="0" fontId="0" fillId="0" borderId="14" xfId="0" applyFill="1" applyBorder="1"/>
    <xf numFmtId="0" fontId="3" fillId="0" borderId="14" xfId="0" applyFont="1" applyFill="1" applyBorder="1" applyAlignment="1">
      <alignment horizontal="center"/>
    </xf>
    <xf numFmtId="0" fontId="0" fillId="0" borderId="14" xfId="0" applyFill="1" applyBorder="1" applyAlignment="1"/>
    <xf numFmtId="0" fontId="0" fillId="0" borderId="6" xfId="0" applyFill="1" applyBorder="1"/>
    <xf numFmtId="166" fontId="0" fillId="0" borderId="6" xfId="0" applyNumberFormat="1" applyFill="1" applyBorder="1"/>
    <xf numFmtId="0" fontId="0" fillId="0" borderId="3" xfId="0" applyFill="1" applyBorder="1" applyAlignment="1">
      <alignment wrapText="1"/>
    </xf>
    <xf numFmtId="0" fontId="0" fillId="0" borderId="17" xfId="0" applyBorder="1"/>
    <xf numFmtId="0" fontId="0" fillId="0" borderId="18" xfId="0" applyBorder="1"/>
    <xf numFmtId="0" fontId="0" fillId="0" borderId="18" xfId="0" applyBorder="1" applyAlignment="1">
      <alignment horizontal="center" vertical="center"/>
    </xf>
    <xf numFmtId="164" fontId="0" fillId="0" borderId="18" xfId="0" applyNumberFormat="1" applyBorder="1" applyAlignment="1">
      <alignment horizontal="center" vertical="center"/>
    </xf>
    <xf numFmtId="0" fontId="0" fillId="0" borderId="19" xfId="0" applyBorder="1"/>
    <xf numFmtId="164" fontId="2" fillId="2" borderId="1" xfId="0" applyNumberFormat="1" applyFont="1" applyFill="1" applyBorder="1" applyAlignment="1">
      <alignment horizontal="center" vertical="center"/>
    </xf>
    <xf numFmtId="164" fontId="2" fillId="2" borderId="2" xfId="0" applyNumberFormat="1" applyFont="1" applyFill="1" applyBorder="1" applyAlignment="1">
      <alignment horizontal="center" vertical="center"/>
    </xf>
    <xf numFmtId="2" fontId="2" fillId="3" borderId="13" xfId="0" applyNumberFormat="1" applyFont="1" applyFill="1" applyBorder="1" applyAlignment="1">
      <alignment horizontal="center"/>
    </xf>
    <xf numFmtId="2" fontId="2" fillId="3" borderId="0" xfId="0" applyNumberFormat="1" applyFont="1" applyFill="1" applyBorder="1" applyAlignment="1">
      <alignment horizontal="center"/>
    </xf>
    <xf numFmtId="2" fontId="2" fillId="3" borderId="6" xfId="0" applyNumberFormat="1" applyFont="1" applyFill="1" applyBorder="1" applyAlignment="1">
      <alignment horizontal="center"/>
    </xf>
    <xf numFmtId="2" fontId="2" fillId="4" borderId="10" xfId="0" applyNumberFormat="1" applyFont="1" applyFill="1" applyBorder="1" applyAlignment="1">
      <alignment horizontal="center"/>
    </xf>
    <xf numFmtId="2" fontId="2" fillId="4" borderId="16" xfId="0" applyNumberFormat="1" applyFont="1" applyFill="1" applyBorder="1" applyAlignment="1">
      <alignment horizontal="center"/>
    </xf>
    <xf numFmtId="2" fontId="2" fillId="4" borderId="9" xfId="0" applyNumberFormat="1" applyFont="1" applyFill="1" applyBorder="1" applyAlignment="1">
      <alignment horizontal="center"/>
    </xf>
    <xf numFmtId="0" fontId="0" fillId="0" borderId="6" xfId="0" applyFill="1" applyBorder="1" applyAlignment="1">
      <alignment horizontal="center" wrapText="1"/>
    </xf>
    <xf numFmtId="164" fontId="2" fillId="2" borderId="7" xfId="0" applyNumberFormat="1" applyFont="1" applyFill="1" applyBorder="1" applyAlignment="1">
      <alignment horizontal="center" vertical="center"/>
    </xf>
    <xf numFmtId="164" fontId="2" fillId="2" borderId="8" xfId="0" applyNumberFormat="1" applyFont="1" applyFill="1" applyBorder="1" applyAlignment="1">
      <alignment horizontal="center" vertical="center"/>
    </xf>
    <xf numFmtId="0" fontId="9" fillId="7" borderId="20" xfId="1" applyFont="1" applyFill="1" applyBorder="1"/>
    <xf numFmtId="0" fontId="9" fillId="7" borderId="21" xfId="1" applyFont="1" applyFill="1" applyBorder="1"/>
    <xf numFmtId="0" fontId="9" fillId="7" borderId="22" xfId="1" applyFont="1" applyFill="1" applyBorder="1"/>
    <xf numFmtId="0" fontId="8" fillId="0" borderId="0" xfId="1"/>
    <xf numFmtId="0" fontId="8" fillId="0" borderId="20" xfId="1" applyBorder="1"/>
    <xf numFmtId="0" fontId="8" fillId="0" borderId="21" xfId="1" applyBorder="1"/>
    <xf numFmtId="0" fontId="8" fillId="0" borderId="22" xfId="1" applyBorder="1"/>
  </cellXfs>
  <cellStyles count="2">
    <cellStyle name="Normal" xfId="0" builtinId="0"/>
    <cellStyle name="Normal 2" xfId="1" xr:uid="{21C5D082-C94E-4327-B603-4F15399FF52B}"/>
  </cellStyles>
  <dxfs count="43">
    <dxf>
      <numFmt numFmtId="164" formatCode="\$0.00&quot;M&quot;"/>
    </dxf>
    <dxf>
      <numFmt numFmtId="1" formatCode="0"/>
      <alignment horizontal="center" vertical="bottom" textRotation="0" wrapText="0" indent="0" justifyLastLine="0" shrinkToFit="0" readingOrder="0"/>
    </dxf>
    <dxf>
      <numFmt numFmtId="165"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164" formatCode="\$0.00&quot;M&quot;"/>
    </dxf>
    <dxf>
      <numFmt numFmtId="2" formatCode="0.00"/>
    </dxf>
    <dxf>
      <numFmt numFmtId="2" formatCode="0.00"/>
    </dxf>
    <dxf>
      <numFmt numFmtId="1" formatCode="0"/>
    </dxf>
    <dxf>
      <numFmt numFmtId="30" formatCode="@"/>
    </dxf>
    <dxf>
      <numFmt numFmtId="2" formatCode="0.00"/>
    </dxf>
    <dxf>
      <numFmt numFmtId="164" formatCode="\$0.00&quot;M&quot;"/>
    </dxf>
    <dxf>
      <numFmt numFmtId="2" formatCode="0.00"/>
    </dxf>
    <dxf>
      <numFmt numFmtId="2" formatCode="0.00"/>
    </dxf>
    <dxf>
      <numFmt numFmtId="2" formatCode="0.00"/>
    </dxf>
    <dxf>
      <numFmt numFmtId="2" formatCode="0.00"/>
    </dxf>
    <dxf>
      <numFmt numFmtId="0" formatCode="General"/>
    </dxf>
    <dxf>
      <numFmt numFmtId="164" formatCode="\$0.00&quot;M&quo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0" formatCode="@"/>
    </dxf>
    <dxf>
      <numFmt numFmtId="0" formatCode="General"/>
    </dxf>
    <dxf>
      <alignment horizontal="center" vertical="center" textRotation="0" wrapText="0" indent="0" justifyLastLine="0" shrinkToFit="0" readingOrder="0"/>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vertical="center"/>
    </dxf>
    <dxf>
      <alignment vertical="center"/>
    </dxf>
    <dxf>
      <alignment horizontal="center"/>
    </dxf>
    <dxf>
      <alignment horizontal="center"/>
    </dxf>
    <dxf>
      <numFmt numFmtId="164" formatCode="\$0.00&quot;M&quot;"/>
    </dxf>
    <dxf>
      <numFmt numFmtId="164" formatCode="\$0.00&quot;M&quot;"/>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6350</xdr:colOff>
      <xdr:row>6</xdr:row>
      <xdr:rowOff>69850</xdr:rowOff>
    </xdr:from>
    <xdr:to>
      <xdr:col>14</xdr:col>
      <xdr:colOff>400049</xdr:colOff>
      <xdr:row>14</xdr:row>
      <xdr:rowOff>95250</xdr:rowOff>
    </xdr:to>
    <mc:AlternateContent xmlns:mc="http://schemas.openxmlformats.org/markup-compatibility/2006" xmlns:a14="http://schemas.microsoft.com/office/drawing/2010/main">
      <mc:Choice Requires="a14">
        <xdr:graphicFrame macro="">
          <xdr:nvGraphicFramePr>
            <xdr:cNvPr id="2" name="Overall_Class">
              <a:extLst>
                <a:ext uri="{FF2B5EF4-FFF2-40B4-BE49-F238E27FC236}">
                  <a16:creationId xmlns:a16="http://schemas.microsoft.com/office/drawing/2014/main" id="{F6754404-C336-47CA-A907-E79E982DBFCF}"/>
                </a:ext>
              </a:extLst>
            </xdr:cNvPr>
            <xdr:cNvGraphicFramePr/>
          </xdr:nvGraphicFramePr>
          <xdr:xfrm>
            <a:off x="0" y="0"/>
            <a:ext cx="0" cy="0"/>
          </xdr:xfrm>
          <a:graphic>
            <a:graphicData uri="http://schemas.microsoft.com/office/drawing/2010/slicer">
              <sle:slicer xmlns:sle="http://schemas.microsoft.com/office/drawing/2010/slicer" name="Overall_Class"/>
            </a:graphicData>
          </a:graphic>
        </xdr:graphicFrame>
      </mc:Choice>
      <mc:Fallback xmlns="">
        <xdr:sp macro="" textlink="">
          <xdr:nvSpPr>
            <xdr:cNvPr id="0" name=""/>
            <xdr:cNvSpPr>
              <a:spLocks noTextEdit="1"/>
            </xdr:cNvSpPr>
          </xdr:nvSpPr>
          <xdr:spPr>
            <a:xfrm>
              <a:off x="8873259" y="254577"/>
              <a:ext cx="1721427" cy="15032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184150</xdr:colOff>
      <xdr:row>11</xdr:row>
      <xdr:rowOff>6350</xdr:rowOff>
    </xdr:from>
    <xdr:to>
      <xdr:col>7</xdr:col>
      <xdr:colOff>571500</xdr:colOff>
      <xdr:row>13</xdr:row>
      <xdr:rowOff>177800</xdr:rowOff>
    </xdr:to>
    <xdr:sp macro="" textlink="">
      <xdr:nvSpPr>
        <xdr:cNvPr id="3" name="TextBox 2">
          <a:extLst>
            <a:ext uri="{FF2B5EF4-FFF2-40B4-BE49-F238E27FC236}">
              <a16:creationId xmlns:a16="http://schemas.microsoft.com/office/drawing/2014/main" id="{EFE0490A-7828-4800-B26F-20B1318E5CC3}"/>
            </a:ext>
          </a:extLst>
        </xdr:cNvPr>
        <xdr:cNvSpPr txBox="1"/>
      </xdr:nvSpPr>
      <xdr:spPr>
        <a:xfrm>
          <a:off x="4908550" y="2032000"/>
          <a:ext cx="2082800" cy="53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t>Analysis</a:t>
          </a:r>
          <a:r>
            <a:rPr lang="en-ID" sz="1100" baseline="0"/>
            <a:t> based on director with above 2 Movie_Count</a:t>
          </a:r>
          <a:endParaRPr lang="en-ID" sz="1100"/>
        </a:p>
      </xdr:txBody>
    </xdr:sp>
    <xdr:clientData/>
  </xdr:twoCellAnchor>
  <xdr:twoCellAnchor>
    <xdr:from>
      <xdr:col>4</xdr:col>
      <xdr:colOff>190500</xdr:colOff>
      <xdr:row>23</xdr:row>
      <xdr:rowOff>12700</xdr:rowOff>
    </xdr:from>
    <xdr:to>
      <xdr:col>7</xdr:col>
      <xdr:colOff>82550</xdr:colOff>
      <xdr:row>25</xdr:row>
      <xdr:rowOff>165100</xdr:rowOff>
    </xdr:to>
    <xdr:sp macro="" textlink="">
      <xdr:nvSpPr>
        <xdr:cNvPr id="4" name="TextBox 3">
          <a:extLst>
            <a:ext uri="{FF2B5EF4-FFF2-40B4-BE49-F238E27FC236}">
              <a16:creationId xmlns:a16="http://schemas.microsoft.com/office/drawing/2014/main" id="{52850FEA-A4F8-4D1B-B312-71561AADB50C}"/>
            </a:ext>
          </a:extLst>
        </xdr:cNvPr>
        <xdr:cNvSpPr txBox="1"/>
      </xdr:nvSpPr>
      <xdr:spPr>
        <a:xfrm>
          <a:off x="2571750" y="3333750"/>
          <a:ext cx="27114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t>Only 3,6% of Gross is explained by Runtime + Rating + Metascore → VERY weak model</a:t>
          </a:r>
        </a:p>
      </xdr:txBody>
    </xdr:sp>
    <xdr:clientData/>
  </xdr:twoCellAnchor>
  <xdr:twoCellAnchor>
    <xdr:from>
      <xdr:col>4</xdr:col>
      <xdr:colOff>190500</xdr:colOff>
      <xdr:row>18</xdr:row>
      <xdr:rowOff>6350</xdr:rowOff>
    </xdr:from>
    <xdr:to>
      <xdr:col>8</xdr:col>
      <xdr:colOff>107950</xdr:colOff>
      <xdr:row>21</xdr:row>
      <xdr:rowOff>171450</xdr:rowOff>
    </xdr:to>
    <xdr:sp macro="" textlink="">
      <xdr:nvSpPr>
        <xdr:cNvPr id="5" name="TextBox 4">
          <a:extLst>
            <a:ext uri="{FF2B5EF4-FFF2-40B4-BE49-F238E27FC236}">
              <a16:creationId xmlns:a16="http://schemas.microsoft.com/office/drawing/2014/main" id="{0ABA803B-6B9C-4BFE-907E-949D550D3B4F}"/>
            </a:ext>
          </a:extLst>
        </xdr:cNvPr>
        <xdr:cNvSpPr txBox="1"/>
      </xdr:nvSpPr>
      <xdr:spPr>
        <a:xfrm>
          <a:off x="2571750" y="2400300"/>
          <a:ext cx="373380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a:t>Weak linear relationships (all r &lt; 0.2) between movie features and revenue, indicating that financial success is likely influenced by external factors not present in the dataset</a:t>
          </a:r>
          <a:endParaRPr lang="en-ID" sz="1100"/>
        </a:p>
      </xdr:txBody>
    </xdr:sp>
    <xdr:clientData/>
  </xdr:twoCellAnchor>
  <xdr:twoCellAnchor>
    <xdr:from>
      <xdr:col>4</xdr:col>
      <xdr:colOff>190500</xdr:colOff>
      <xdr:row>27</xdr:row>
      <xdr:rowOff>12700</xdr:rowOff>
    </xdr:from>
    <xdr:to>
      <xdr:col>8</xdr:col>
      <xdr:colOff>647700</xdr:colOff>
      <xdr:row>29</xdr:row>
      <xdr:rowOff>0</xdr:rowOff>
    </xdr:to>
    <xdr:sp macro="" textlink="">
      <xdr:nvSpPr>
        <xdr:cNvPr id="6" name="TextBox 5">
          <a:extLst>
            <a:ext uri="{FF2B5EF4-FFF2-40B4-BE49-F238E27FC236}">
              <a16:creationId xmlns:a16="http://schemas.microsoft.com/office/drawing/2014/main" id="{4CDCBD06-F9A4-452C-A346-56FD94E5BEC1}"/>
            </a:ext>
          </a:extLst>
        </xdr:cNvPr>
        <xdr:cNvSpPr txBox="1"/>
      </xdr:nvSpPr>
      <xdr:spPr>
        <a:xfrm>
          <a:off x="2571750" y="4083050"/>
          <a:ext cx="427355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t>Significance F &gt; 0.05 → The overall model is NOT statistically significant</a:t>
          </a:r>
        </a:p>
      </xdr:txBody>
    </xdr:sp>
    <xdr:clientData/>
  </xdr:twoCellAnchor>
  <xdr:twoCellAnchor>
    <xdr:from>
      <xdr:col>5</xdr:col>
      <xdr:colOff>127000</xdr:colOff>
      <xdr:row>30</xdr:row>
      <xdr:rowOff>6350</xdr:rowOff>
    </xdr:from>
    <xdr:to>
      <xdr:col>8</xdr:col>
      <xdr:colOff>139700</xdr:colOff>
      <xdr:row>32</xdr:row>
      <xdr:rowOff>82550</xdr:rowOff>
    </xdr:to>
    <xdr:sp macro="" textlink="">
      <xdr:nvSpPr>
        <xdr:cNvPr id="7" name="TextBox 6">
          <a:extLst>
            <a:ext uri="{FF2B5EF4-FFF2-40B4-BE49-F238E27FC236}">
              <a16:creationId xmlns:a16="http://schemas.microsoft.com/office/drawing/2014/main" id="{89F635F1-44E3-40BC-BD76-72C4EB79E9ED}"/>
            </a:ext>
          </a:extLst>
        </xdr:cNvPr>
        <xdr:cNvSpPr txBox="1"/>
      </xdr:nvSpPr>
      <xdr:spPr>
        <a:xfrm>
          <a:off x="3632200" y="4635500"/>
          <a:ext cx="27051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t>Coeff are slight positive but still  meaningless and not significant</a:t>
          </a:r>
        </a:p>
      </xdr:txBody>
    </xdr:sp>
    <xdr:clientData/>
  </xdr:twoCellAnchor>
  <xdr:twoCellAnchor>
    <xdr:from>
      <xdr:col>5</xdr:col>
      <xdr:colOff>127000</xdr:colOff>
      <xdr:row>32</xdr:row>
      <xdr:rowOff>107950</xdr:rowOff>
    </xdr:from>
    <xdr:to>
      <xdr:col>8</xdr:col>
      <xdr:colOff>146050</xdr:colOff>
      <xdr:row>35</xdr:row>
      <xdr:rowOff>0</xdr:rowOff>
    </xdr:to>
    <xdr:sp macro="" textlink="">
      <xdr:nvSpPr>
        <xdr:cNvPr id="8" name="TextBox 7">
          <a:extLst>
            <a:ext uri="{FF2B5EF4-FFF2-40B4-BE49-F238E27FC236}">
              <a16:creationId xmlns:a16="http://schemas.microsoft.com/office/drawing/2014/main" id="{B87BDC86-E4E5-459B-A4C1-AF8BFC9C5AF6}"/>
            </a:ext>
          </a:extLst>
        </xdr:cNvPr>
        <xdr:cNvSpPr txBox="1"/>
      </xdr:nvSpPr>
      <xdr:spPr>
        <a:xfrm>
          <a:off x="3632200" y="5105400"/>
          <a:ext cx="2711450" cy="45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t>None of the predictors have P-value &lt; 0.05 → No variable individually explains revenue.</a:t>
          </a:r>
        </a:p>
      </xdr:txBody>
    </xdr:sp>
    <xdr:clientData/>
  </xdr:twoCellAnchor>
  <xdr:twoCellAnchor>
    <xdr:from>
      <xdr:col>2</xdr:col>
      <xdr:colOff>95250</xdr:colOff>
      <xdr:row>36</xdr:row>
      <xdr:rowOff>25400</xdr:rowOff>
    </xdr:from>
    <xdr:to>
      <xdr:col>9</xdr:col>
      <xdr:colOff>635000</xdr:colOff>
      <xdr:row>40</xdr:row>
      <xdr:rowOff>171450</xdr:rowOff>
    </xdr:to>
    <xdr:sp macro="" textlink="">
      <xdr:nvSpPr>
        <xdr:cNvPr id="9" name="TextBox 8">
          <a:extLst>
            <a:ext uri="{FF2B5EF4-FFF2-40B4-BE49-F238E27FC236}">
              <a16:creationId xmlns:a16="http://schemas.microsoft.com/office/drawing/2014/main" id="{2CC2B4E6-D9F7-4A6B-944A-625C18B6032A}"/>
            </a:ext>
          </a:extLst>
        </xdr:cNvPr>
        <xdr:cNvSpPr txBox="1"/>
      </xdr:nvSpPr>
      <xdr:spPr>
        <a:xfrm>
          <a:off x="95250" y="5765800"/>
          <a:ext cx="7486650" cy="88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t>“Regression analysis reveals that Rating, Metascore, and Runtime together explain only 3.6% of revenue variance (R²=0.036). None of these variables are statistically significant (p&gt;0.05). This suggests that critical reception and runtime alone do not drive box office success. Future models should incorporate additional business factors (marketing budgets, genre, franchise status, director popularity, etc.).”</a:t>
          </a:r>
        </a:p>
      </xdr:txBody>
    </xdr:sp>
    <xdr:clientData/>
  </xdr:twoCellAnchor>
  <xdr:twoCellAnchor>
    <xdr:from>
      <xdr:col>14</xdr:col>
      <xdr:colOff>781050</xdr:colOff>
      <xdr:row>6</xdr:row>
      <xdr:rowOff>82550</xdr:rowOff>
    </xdr:from>
    <xdr:to>
      <xdr:col>17</xdr:col>
      <xdr:colOff>603250</xdr:colOff>
      <xdr:row>9</xdr:row>
      <xdr:rowOff>152400</xdr:rowOff>
    </xdr:to>
    <xdr:sp macro="" textlink="">
      <xdr:nvSpPr>
        <xdr:cNvPr id="10" name="TextBox 9">
          <a:extLst>
            <a:ext uri="{FF2B5EF4-FFF2-40B4-BE49-F238E27FC236}">
              <a16:creationId xmlns:a16="http://schemas.microsoft.com/office/drawing/2014/main" id="{BD2A0782-44C2-437D-ACA7-B83564294681}"/>
            </a:ext>
          </a:extLst>
        </xdr:cNvPr>
        <xdr:cNvSpPr txBox="1"/>
      </xdr:nvSpPr>
      <xdr:spPr>
        <a:xfrm>
          <a:off x="10814050" y="266700"/>
          <a:ext cx="198120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1100"/>
            <a:t>Class</a:t>
          </a:r>
          <a:r>
            <a:rPr lang="en-ID" sz="1100" baseline="0"/>
            <a:t> devided by High/Low level rating, metascore, and gross revenue</a:t>
          </a:r>
          <a:endParaRPr lang="en-ID" sz="1100"/>
        </a:p>
      </xdr:txBody>
    </xdr:sp>
    <xdr:clientData/>
  </xdr:twoCellAnchor>
  <xdr:twoCellAnchor>
    <xdr:from>
      <xdr:col>14</xdr:col>
      <xdr:colOff>782038</xdr:colOff>
      <xdr:row>10</xdr:row>
      <xdr:rowOff>25400</xdr:rowOff>
    </xdr:from>
    <xdr:to>
      <xdr:col>17</xdr:col>
      <xdr:colOff>596900</xdr:colOff>
      <xdr:row>14</xdr:row>
      <xdr:rowOff>95250</xdr:rowOff>
    </xdr:to>
    <xdr:sp macro="" textlink="">
      <xdr:nvSpPr>
        <xdr:cNvPr id="11" name="TextBox 10">
          <a:extLst>
            <a:ext uri="{FF2B5EF4-FFF2-40B4-BE49-F238E27FC236}">
              <a16:creationId xmlns:a16="http://schemas.microsoft.com/office/drawing/2014/main" id="{3C7BE797-0A17-4B87-A0B4-7BB8E137A157}"/>
            </a:ext>
          </a:extLst>
        </xdr:cNvPr>
        <xdr:cNvSpPr txBox="1"/>
      </xdr:nvSpPr>
      <xdr:spPr>
        <a:xfrm>
          <a:off x="10815038" y="946150"/>
          <a:ext cx="1973862" cy="80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1100"/>
            <a:t>Eg.</a:t>
          </a:r>
          <a:r>
            <a:rPr lang="en-ID" sz="1100" baseline="0"/>
            <a:t> AAB</a:t>
          </a:r>
        </a:p>
        <a:p>
          <a:pPr algn="l"/>
          <a:r>
            <a:rPr lang="en-ID" sz="1100" baseline="0"/>
            <a:t>High level rating</a:t>
          </a:r>
        </a:p>
        <a:p>
          <a:pPr algn="l"/>
          <a:r>
            <a:rPr lang="en-ID" sz="1100" baseline="0"/>
            <a:t>High level metascore</a:t>
          </a:r>
        </a:p>
        <a:p>
          <a:pPr algn="l"/>
          <a:r>
            <a:rPr lang="en-ID" sz="1100" baseline="0"/>
            <a:t>low level gross revenue</a:t>
          </a:r>
          <a:endParaRPr lang="en-ID" sz="1100"/>
        </a:p>
      </xdr:txBody>
    </xdr:sp>
    <xdr:clientData/>
  </xdr:twoCellAnchor>
  <xdr:twoCellAnchor>
    <xdr:from>
      <xdr:col>4</xdr:col>
      <xdr:colOff>611909</xdr:colOff>
      <xdr:row>1</xdr:row>
      <xdr:rowOff>11544</xdr:rowOff>
    </xdr:from>
    <xdr:to>
      <xdr:col>13</xdr:col>
      <xdr:colOff>288636</xdr:colOff>
      <xdr:row>4</xdr:row>
      <xdr:rowOff>113247</xdr:rowOff>
    </xdr:to>
    <xdr:grpSp>
      <xdr:nvGrpSpPr>
        <xdr:cNvPr id="15" name="Group 14">
          <a:extLst>
            <a:ext uri="{FF2B5EF4-FFF2-40B4-BE49-F238E27FC236}">
              <a16:creationId xmlns:a16="http://schemas.microsoft.com/office/drawing/2014/main" id="{F75FAE1C-D7F4-498A-A9E7-FF64C10F5CE6}"/>
            </a:ext>
          </a:extLst>
        </xdr:cNvPr>
        <xdr:cNvGrpSpPr/>
      </xdr:nvGrpSpPr>
      <xdr:grpSpPr>
        <a:xfrm>
          <a:off x="3831359" y="195694"/>
          <a:ext cx="6102927" cy="654153"/>
          <a:chOff x="4987636" y="173181"/>
          <a:chExt cx="6834909" cy="655885"/>
        </a:xfrm>
      </xdr:grpSpPr>
      <xdr:sp macro="" textlink="">
        <xdr:nvSpPr>
          <xdr:cNvPr id="12" name="TextBox 11">
            <a:extLst>
              <a:ext uri="{FF2B5EF4-FFF2-40B4-BE49-F238E27FC236}">
                <a16:creationId xmlns:a16="http://schemas.microsoft.com/office/drawing/2014/main" id="{4F157DC8-E23D-4F70-8540-EB34510BEA4B}"/>
              </a:ext>
            </a:extLst>
          </xdr:cNvPr>
          <xdr:cNvSpPr txBox="1"/>
        </xdr:nvSpPr>
        <xdr:spPr>
          <a:xfrm>
            <a:off x="5518726" y="173181"/>
            <a:ext cx="630381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3600"/>
              <a:t>KEY</a:t>
            </a:r>
            <a:r>
              <a:rPr lang="en-ID" sz="3600" baseline="0"/>
              <a:t> POINTS ANALYSIS: MOVIES</a:t>
            </a:r>
            <a:endParaRPr lang="en-ID" sz="3600"/>
          </a:p>
        </xdr:txBody>
      </xdr:sp>
      <xdr:pic>
        <xdr:nvPicPr>
          <xdr:cNvPr id="14" name="Graphic 13" descr="Clapper board with solid fill">
            <a:extLst>
              <a:ext uri="{FF2B5EF4-FFF2-40B4-BE49-F238E27FC236}">
                <a16:creationId xmlns:a16="http://schemas.microsoft.com/office/drawing/2014/main" id="{6F97F728-95EF-48C4-A511-4D17121723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987636" y="233217"/>
            <a:ext cx="528784" cy="528784"/>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ym_xg1tqji" refreshedDate="45941.571779398146" createdVersion="7" refreshedVersion="7" minRefreshableVersion="3" recordCount="19" xr:uid="{F00C33E9-F8F2-4339-AFAA-CE44A2D007EF}">
  <cacheSource type="worksheet">
    <worksheetSource name="Genre_Summary"/>
  </cacheSource>
  <cacheFields count="10">
    <cacheField name="Genre" numFmtId="49">
      <sharedItems count="19">
        <s v="Drama"/>
        <s v="Crime"/>
        <s v="Action"/>
        <s v="Biography"/>
        <s v="History"/>
        <s v="Adventure"/>
        <s v="Sci-Fi"/>
        <s v="Romance"/>
        <s v="Western"/>
        <s v="Fantasy"/>
        <s v="Mystery"/>
        <s v="War"/>
        <s v="Thriller"/>
        <s v="Animation"/>
        <s v="Family"/>
        <s v="Comedy"/>
        <s v="Horror"/>
        <s v="Music"/>
        <s v="Film-Noir"/>
      </sharedItems>
    </cacheField>
    <cacheField name="Movie_Count" numFmtId="1">
      <sharedItems containsSemiMixedTypes="0" containsString="0" containsNumber="1" containsInteger="1" minValue="1" maxValue="80"/>
    </cacheField>
    <cacheField name="Avg_Rating" numFmtId="2">
      <sharedItems containsSemiMixedTypes="0" containsString="0" containsNumber="1" minValue="8.4" maxValue="8.5666666666666664"/>
    </cacheField>
    <cacheField name="Rating_Level" numFmtId="0">
      <sharedItems/>
    </cacheField>
    <cacheField name="Avg_Metascore" numFmtId="2">
      <sharedItems containsSemiMixedTypes="0" containsString="0" containsNumber="1" minValue="69.44" maxValue="94"/>
    </cacheField>
    <cacheField name="Metascore_Level" numFmtId="0">
      <sharedItems/>
    </cacheField>
    <cacheField name="Avg_Gross" numFmtId="164">
      <sharedItems containsSemiMixedTypes="0" containsString="0" containsNumber="1" minValue="0" maxValue="256.35769230769233"/>
    </cacheField>
    <cacheField name="Gross_Level" numFmtId="0">
      <sharedItems/>
    </cacheField>
    <cacheField name="Overall_Class" numFmtId="0">
      <sharedItems count="8">
        <s v="ABA"/>
        <s v="ABB"/>
        <s v="AAB"/>
        <s v="AAA"/>
        <s v="BBB"/>
        <s v="BAB"/>
        <s v="BBA"/>
        <s v="BAA"/>
      </sharedItems>
    </cacheField>
    <cacheField name="Overall_Score" numFmtId="0">
      <sharedItems containsSemiMixedTypes="0" containsString="0" containsNumber="1" containsInteger="1" minValue="0" maxValue="3"/>
    </cacheField>
  </cacheFields>
  <extLst>
    <ext xmlns:x14="http://schemas.microsoft.com/office/spreadsheetml/2009/9/main" uri="{725AE2AE-9491-48be-B2B4-4EB974FC3084}">
      <x14:pivotCacheDefinition pivotCacheId="794104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80"/>
    <n v="8.5237500000000015"/>
    <s v="High"/>
    <n v="74.400000000000006"/>
    <s v="Low"/>
    <n v="100.16200000000001"/>
    <s v="High"/>
    <x v="0"/>
    <n v="2"/>
  </r>
  <r>
    <x v="1"/>
    <n v="25"/>
    <n v="8.5640000000000001"/>
    <s v="High"/>
    <n v="69.44"/>
    <s v="Low"/>
    <n v="76.578400000000002"/>
    <s v="High"/>
    <x v="0"/>
    <n v="2"/>
  </r>
  <r>
    <x v="2"/>
    <n v="26"/>
    <n v="8.5500000000000007"/>
    <s v="High"/>
    <n v="70.538461538461533"/>
    <s v="Low"/>
    <n v="256.35769230769233"/>
    <s v="High"/>
    <x v="0"/>
    <n v="2"/>
  </r>
  <r>
    <x v="3"/>
    <n v="9"/>
    <n v="8.4888888888888889"/>
    <s v="High"/>
    <n v="74.888888888888886"/>
    <s v="Low"/>
    <n v="40.208888888888886"/>
    <s v="Low"/>
    <x v="1"/>
    <n v="1"/>
  </r>
  <r>
    <x v="4"/>
    <n v="3"/>
    <n v="8.5333333333333332"/>
    <s v="High"/>
    <n v="84"/>
    <s v="High"/>
    <n v="57.5"/>
    <s v="Low"/>
    <x v="2"/>
    <n v="2"/>
  </r>
  <r>
    <x v="5"/>
    <n v="27"/>
    <n v="8.5037037037037049"/>
    <s v="High"/>
    <n v="80.962962962962962"/>
    <s v="High"/>
    <n v="255.27962962962965"/>
    <s v="High"/>
    <x v="3"/>
    <n v="3"/>
  </r>
  <r>
    <x v="6"/>
    <n v="12"/>
    <n v="8.5"/>
    <s v="High"/>
    <n v="78.333333333333329"/>
    <s v="High"/>
    <n v="171.755"/>
    <s v="High"/>
    <x v="3"/>
    <n v="3"/>
  </r>
  <r>
    <x v="7"/>
    <n v="11"/>
    <n v="8.4636363636363647"/>
    <s v="Low"/>
    <n v="76.727272727272734"/>
    <s v="Low"/>
    <n v="55.481818181818142"/>
    <s v="Low"/>
    <x v="4"/>
    <n v="0"/>
  </r>
  <r>
    <x v="8"/>
    <n v="3"/>
    <n v="8.5666666666666664"/>
    <s v="High"/>
    <n v="84.333333333333329"/>
    <s v="High"/>
    <n v="58.076666666666668"/>
    <s v="Low"/>
    <x v="2"/>
    <n v="2"/>
  </r>
  <r>
    <x v="9"/>
    <n v="6"/>
    <n v="8.5333333333333332"/>
    <s v="High"/>
    <n v="76.833333333333329"/>
    <s v="Low"/>
    <n v="177.36166666666668"/>
    <s v="High"/>
    <x v="0"/>
    <n v="2"/>
  </r>
  <r>
    <x v="10"/>
    <n v="15"/>
    <n v="8.4533333333333331"/>
    <s v="Low"/>
    <n v="78.599999999999994"/>
    <s v="High"/>
    <n v="25.638000000000005"/>
    <s v="Low"/>
    <x v="5"/>
    <n v="1"/>
  </r>
  <r>
    <x v="11"/>
    <n v="11"/>
    <n v="8.418181818181818"/>
    <s v="Low"/>
    <n v="72.63636363636364"/>
    <s v="Low"/>
    <n v="43.635454545454564"/>
    <s v="Low"/>
    <x v="4"/>
    <n v="0"/>
  </r>
  <r>
    <x v="12"/>
    <n v="13"/>
    <n v="8.430769230769231"/>
    <s v="Low"/>
    <n v="73.384615384615387"/>
    <s v="Low"/>
    <n v="93.207692307692298"/>
    <s v="High"/>
    <x v="6"/>
    <n v="1"/>
  </r>
  <r>
    <x v="13"/>
    <n v="10"/>
    <n v="8.41"/>
    <s v="Low"/>
    <n v="89.8"/>
    <s v="High"/>
    <n v="196.14400000000001"/>
    <s v="High"/>
    <x v="7"/>
    <n v="2"/>
  </r>
  <r>
    <x v="14"/>
    <n v="3"/>
    <n v="8.5333333333333332"/>
    <s v="High"/>
    <n v="93.333333333333329"/>
    <s v="High"/>
    <n v="77.956666666666663"/>
    <s v="High"/>
    <x v="3"/>
    <n v="3"/>
  </r>
  <r>
    <x v="15"/>
    <n v="12"/>
    <n v="8.4166666666666679"/>
    <s v="Low"/>
    <n v="75.583333333333329"/>
    <s v="Low"/>
    <n v="101.80833333333334"/>
    <s v="High"/>
    <x v="6"/>
    <n v="1"/>
  </r>
  <r>
    <x v="16"/>
    <n v="3"/>
    <n v="8.4666666666666668"/>
    <s v="Low"/>
    <n v="84"/>
    <s v="High"/>
    <n v="51.64"/>
    <s v="Low"/>
    <x v="5"/>
    <n v="1"/>
  </r>
  <r>
    <x v="17"/>
    <n v="3"/>
    <n v="8.4666666666666668"/>
    <s v="Low"/>
    <n v="87.333333333333329"/>
    <s v="High"/>
    <n v="32.543333333333337"/>
    <s v="Low"/>
    <x v="5"/>
    <n v="1"/>
  </r>
  <r>
    <x v="18"/>
    <n v="1"/>
    <n v="8.4"/>
    <s v="Low"/>
    <n v="94"/>
    <s v="High"/>
    <n v="0"/>
    <s v="Low"/>
    <x v="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8F465-59F4-435B-BECC-255676551340}"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showHeaders="0" outline="1" outlineData="1" multipleFieldFilters="0">
  <location ref="M16:P35" firstHeaderRow="0" firstDataRow="1" firstDataCol="1"/>
  <pivotFields count="10">
    <pivotField axis="axisRow" showAll="0" defaultSubtotal="0">
      <items count="19">
        <item x="2"/>
        <item x="5"/>
        <item x="13"/>
        <item x="3"/>
        <item x="15"/>
        <item x="1"/>
        <item x="0"/>
        <item x="14"/>
        <item x="9"/>
        <item x="18"/>
        <item x="4"/>
        <item x="16"/>
        <item x="17"/>
        <item x="10"/>
        <item x="7"/>
        <item x="6"/>
        <item x="12"/>
        <item x="11"/>
        <item x="8"/>
      </items>
    </pivotField>
    <pivotField numFmtId="1" showAll="0"/>
    <pivotField dataField="1" numFmtId="2" showAll="0"/>
    <pivotField showAll="0"/>
    <pivotField dataField="1" numFmtId="2" showAll="0"/>
    <pivotField showAll="0"/>
    <pivotField dataField="1" numFmtId="164" showAll="0"/>
    <pivotField showAll="0"/>
    <pivotField showAll="0" defaultSubtotal="0">
      <items count="8">
        <item x="3"/>
        <item x="2"/>
        <item x="0"/>
        <item x="1"/>
        <item x="7"/>
        <item x="5"/>
        <item x="6"/>
        <item x="4"/>
      </items>
    </pivotField>
    <pivotField showAll="0"/>
  </pivotFields>
  <rowFields count="1">
    <field x="0"/>
  </rowFields>
  <rowItems count="19">
    <i>
      <x/>
    </i>
    <i>
      <x v="1"/>
    </i>
    <i>
      <x v="2"/>
    </i>
    <i>
      <x v="3"/>
    </i>
    <i>
      <x v="4"/>
    </i>
    <i>
      <x v="5"/>
    </i>
    <i>
      <x v="6"/>
    </i>
    <i>
      <x v="7"/>
    </i>
    <i>
      <x v="8"/>
    </i>
    <i>
      <x v="9"/>
    </i>
    <i>
      <x v="10"/>
    </i>
    <i>
      <x v="11"/>
    </i>
    <i>
      <x v="12"/>
    </i>
    <i>
      <x v="13"/>
    </i>
    <i>
      <x v="14"/>
    </i>
    <i>
      <x v="15"/>
    </i>
    <i>
      <x v="16"/>
    </i>
    <i>
      <x v="17"/>
    </i>
    <i>
      <x v="18"/>
    </i>
  </rowItems>
  <colFields count="1">
    <field x="-2"/>
  </colFields>
  <colItems count="3">
    <i>
      <x/>
    </i>
    <i i="1">
      <x v="1"/>
    </i>
    <i i="2">
      <x v="2"/>
    </i>
  </colItems>
  <dataFields count="3">
    <dataField name="Avg Rating" fld="2" subtotal="average" baseField="0" baseItem="0"/>
    <dataField name="Avg Metascore" fld="4" subtotal="average" baseField="0" baseItem="0"/>
    <dataField name="Avg Gross" fld="6" subtotal="average" baseField="0" baseItem="0" numFmtId="164"/>
  </dataFields>
  <formats count="16">
    <format dxfId="42">
      <pivotArea collapsedLevelsAreSubtotals="1" fieldPosition="0">
        <references count="1">
          <reference field="0" count="0"/>
        </references>
      </pivotArea>
    </format>
    <format dxfId="41">
      <pivotArea outline="0" collapsedLevelsAreSubtotals="1" fieldPosition="0">
        <references count="1">
          <reference field="4294967294" count="1" selected="0">
            <x v="2"/>
          </reference>
        </references>
      </pivotArea>
    </format>
    <format dxfId="40">
      <pivotArea dataOnly="0" labelOnly="1" outline="0" fieldPosition="0">
        <references count="1">
          <reference field="4294967294" count="1">
            <x v="2"/>
          </reference>
        </references>
      </pivotArea>
    </format>
    <format dxfId="39">
      <pivotArea outline="0" collapsedLevelsAreSubtotals="1" fieldPosition="0"/>
    </format>
    <format dxfId="38">
      <pivotArea dataOnly="0" labelOnly="1" outline="0" fieldPosition="0">
        <references count="1">
          <reference field="4294967294" count="3">
            <x v="0"/>
            <x v="1"/>
            <x v="2"/>
          </reference>
        </references>
      </pivotArea>
    </format>
    <format dxfId="37">
      <pivotArea outline="0" collapsedLevelsAreSubtotals="1" fieldPosition="0"/>
    </format>
    <format dxfId="36">
      <pivotArea dataOnly="0" labelOnly="1" outline="0" fieldPosition="0">
        <references count="1">
          <reference field="4294967294" count="3">
            <x v="0"/>
            <x v="1"/>
            <x v="2"/>
          </reference>
        </references>
      </pivotArea>
    </format>
    <format dxfId="35">
      <pivotArea outline="0" collapsedLevelsAreSubtotals="1" fieldPosition="0">
        <references count="1">
          <reference field="4294967294" count="1" selected="0">
            <x v="2"/>
          </reference>
        </references>
      </pivotArea>
    </format>
    <format dxfId="34">
      <pivotArea type="all" dataOnly="0" outline="0" fieldPosition="0"/>
    </format>
    <format dxfId="33">
      <pivotArea outline="0" collapsedLevelsAreSubtotals="1" fieldPosition="0"/>
    </format>
    <format dxfId="32">
      <pivotArea dataOnly="0" labelOnly="1" fieldPosition="0">
        <references count="1">
          <reference field="0" count="0"/>
        </references>
      </pivotArea>
    </format>
    <format dxfId="31">
      <pivotArea dataOnly="0" labelOnly="1" outline="0" fieldPosition="0">
        <references count="1">
          <reference field="4294967294" count="3">
            <x v="0"/>
            <x v="1"/>
            <x v="2"/>
          </reference>
        </references>
      </pivotArea>
    </format>
    <format dxfId="30">
      <pivotArea type="all" dataOnly="0" outline="0" fieldPosition="0"/>
    </format>
    <format dxfId="29">
      <pivotArea outline="0" collapsedLevelsAreSubtotals="1" fieldPosition="0"/>
    </format>
    <format dxfId="28">
      <pivotArea dataOnly="0" labelOnly="1" fieldPosition="0">
        <references count="1">
          <reference field="0" count="0"/>
        </references>
      </pivotArea>
    </format>
    <format dxfId="27">
      <pivotArea dataOnly="0" labelOnly="1" outline="0" fieldPosition="0">
        <references count="1">
          <reference field="4294967294" count="3">
            <x v="0"/>
            <x v="1"/>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771035-030D-4E08-9A23-C1D0E943668A}" autoFormatId="16" applyNumberFormats="0" applyBorderFormats="0" applyFontFormats="0" applyPatternFormats="0" applyAlignmentFormats="0" applyWidthHeightFormats="0">
  <queryTableRefresh nextId="9">
    <queryTableFields count="8">
      <queryTableField id="1" name="Title" tableColumnId="1"/>
      <queryTableField id="2" name="Director" tableColumnId="2"/>
      <queryTableField id="3" name="Release Year" tableColumnId="3"/>
      <queryTableField id="4" name="Runtime (Minutes)" tableColumnId="4"/>
      <queryTableField id="5" name="Genre" tableColumnId="5"/>
      <queryTableField id="6" name="Rating" tableColumnId="6"/>
      <queryTableField id="7" name="Metascore" tableColumnId="7"/>
      <queryTableField id="8" name="Gross Revenue (in Milli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7E736BA-CDAD-40B9-B1B6-86A95DA3A3FB}" autoFormatId="16" applyNumberFormats="0" applyBorderFormats="0" applyFontFormats="0" applyPatternFormats="0" applyAlignmentFormats="0" applyWidthHeightFormats="0">
  <queryTableRefresh nextId="10" unboundColumnsRight="1">
    <queryTableFields count="8">
      <queryTableField id="1" name="Director" tableColumnId="1"/>
      <queryTableField id="2" name="Count" tableColumnId="2"/>
      <queryTableField id="3" name="Avg_Rating" tableColumnId="3"/>
      <queryTableField id="6" dataBound="0" tableColumnId="7"/>
      <queryTableField id="4" name="Avg_Metascore" tableColumnId="4"/>
      <queryTableField id="7" dataBound="0" tableColumnId="8"/>
      <queryTableField id="5" name="Total_Gross" tableColumnId="5"/>
      <queryTableField id="8"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255AF2BD-6B68-4A92-9FFD-52433BE25D6A}" autoFormatId="16" applyNumberFormats="0" applyBorderFormats="0" applyFontFormats="0" applyPatternFormats="0" applyAlignmentFormats="0" applyWidthHeightFormats="0">
  <queryTableRefresh nextId="14">
    <queryTableFields count="10">
      <queryTableField id="1" name="Genre" tableColumnId="1"/>
      <queryTableField id="2" name="Movie_Count" tableColumnId="2"/>
      <queryTableField id="3" name="Avg_Rating" tableColumnId="3"/>
      <queryTableField id="5" name="Rating_Level" tableColumnId="5"/>
      <queryTableField id="6" name="Avg_Metascore" tableColumnId="6"/>
      <queryTableField id="8" name="Metascore_Level" tableColumnId="8"/>
      <queryTableField id="9" name="Avg_Gross" tableColumnId="9"/>
      <queryTableField id="11" name="Gross_Level" tableColumnId="11"/>
      <queryTableField id="12" name="Overall_Class" tableColumnId="12"/>
      <queryTableField id="13" name="Overall_Score" tableColumnId="13"/>
    </queryTableFields>
    <queryTableDeletedFields count="3">
      <deletedField name="Median_Rating"/>
      <deletedField name="Median_Metascore"/>
      <deletedField name="Median_Gros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all_Class" xr10:uid="{7D875232-DFB5-4755-85D5-C288AB1D3EB7}" sourceName="Overall_Class">
  <pivotTables>
    <pivotTable tabId="12" name="PivotTable1"/>
  </pivotTables>
  <data>
    <tabular pivotCacheId="794104623">
      <items count="8">
        <i x="3" s="1"/>
        <i x="2" s="1"/>
        <i x="0" s="1"/>
        <i x="1" s="1"/>
        <i x="7" s="1"/>
        <i x="5"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all_Class" xr10:uid="{6A1EFB9C-CC0A-4A8A-9553-5494CFDC7294}" cache="Slicer_Overall_Class" caption="Overall_Class" columnCount="2"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B14DF-AB33-4576-A732-000045854235}" name="All_Movie" displayName="All_Movie" ref="A1:H110" tableType="queryTable" totalsRowShown="0" headerRowDxfId="26">
  <autoFilter ref="A1:H110" xr:uid="{2BEB14DF-AB33-4576-A732-000045854235}"/>
  <tableColumns count="8">
    <tableColumn id="1" xr3:uid="{13A5AE00-977B-4E55-9934-1F36420FCDBD}" uniqueName="1" name="Title" queryTableFieldId="1" dataDxfId="25"/>
    <tableColumn id="2" xr3:uid="{80080BA1-A4CB-43AB-B421-9ACF155C5D89}" uniqueName="2" name="Director" queryTableFieldId="2" dataDxfId="24"/>
    <tableColumn id="3" xr3:uid="{877C7DC7-E258-422E-A85F-9EEB1A2B43E3}" uniqueName="3" name="Release Year" queryTableFieldId="3" dataDxfId="23"/>
    <tableColumn id="4" xr3:uid="{A1C5A33E-A94E-47A9-B6D3-666C2516709B}" uniqueName="4" name="Runtime (Minutes)" queryTableFieldId="4" dataDxfId="22"/>
    <tableColumn id="5" xr3:uid="{E33989E4-44E0-42AB-A5A9-17C15C7A7204}" uniqueName="5" name="Genre" queryTableFieldId="5" dataDxfId="21"/>
    <tableColumn id="6" xr3:uid="{1FC4F272-3244-49ED-BE6C-8178E01911D8}" uniqueName="6" name="Rating" queryTableFieldId="6" dataDxfId="20"/>
    <tableColumn id="7" xr3:uid="{1DAD80E7-50E1-4522-930C-FD34C1DA33C8}" uniqueName="7" name="Metascore" queryTableFieldId="7" dataDxfId="19"/>
    <tableColumn id="8" xr3:uid="{4C55E436-270B-421B-B85B-3E42FCBCE49D}" uniqueName="8" name="Gross Revenue (in Million)" queryTableFieldId="8"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8EB884-18CF-499C-B8CD-97520D72D8E2}" name="Director_Performance" displayName="Director_Performance" ref="A1:H74" tableType="queryTable" totalsRowShown="0">
  <autoFilter ref="A1:H74" xr:uid="{B38EB884-18CF-499C-B8CD-97520D72D8E2}"/>
  <tableColumns count="8">
    <tableColumn id="1" xr3:uid="{47D55B11-9609-4749-8F99-1ABF73EE60B5}" uniqueName="1" name="Director" queryTableFieldId="1" dataDxfId="17"/>
    <tableColumn id="2" xr3:uid="{E39F3147-BDEF-4462-92D8-6B199ED07D76}" uniqueName="2" name="Count" queryTableFieldId="2"/>
    <tableColumn id="3" xr3:uid="{91096A8E-21F0-437D-9F92-12C05400CF47}" uniqueName="3" name="Avg_Rating" queryTableFieldId="3" dataDxfId="16"/>
    <tableColumn id="7" xr3:uid="{8F7E4583-D4E2-462F-98F3-DE52ABCA642C}" uniqueName="7" name="Rating Rank" queryTableFieldId="6" dataDxfId="15"/>
    <tableColumn id="4" xr3:uid="{C9BCA0C4-01FE-460C-9AD5-D54C9C494E50}" uniqueName="4" name="Avg_Metascore" queryTableFieldId="4" dataDxfId="14"/>
    <tableColumn id="8" xr3:uid="{5C2A8B76-4877-43EF-B846-D0CC4F3A810B}" uniqueName="8" name="Metascore Rank" queryTableFieldId="7" dataDxfId="13"/>
    <tableColumn id="5" xr3:uid="{E5BA7FBD-DDC6-4D36-996C-AC7366E422AA}" uniqueName="5" name="Total_Gross" queryTableFieldId="5" dataDxfId="12"/>
    <tableColumn id="9" xr3:uid="{B3B76777-07D3-4057-A4D7-8B2EBC0D865E}" uniqueName="9" name="Gross Rank" queryTableFieldId="8"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D10AB1-A334-4D8D-A769-FA376F823966}" name="Genre_Summary" displayName="Genre_Summary" ref="A1:J20" tableType="queryTable" totalsRowShown="0">
  <autoFilter ref="A1:J20" xr:uid="{6ED10AB1-A334-4D8D-A769-FA376F823966}"/>
  <tableColumns count="10">
    <tableColumn id="1" xr3:uid="{0D0FA50B-5E47-4739-B40D-4D0C194A4487}" uniqueName="1" name="Genre" queryTableFieldId="1" dataDxfId="10"/>
    <tableColumn id="2" xr3:uid="{FD0D47FA-9B1E-4780-BD5D-D60348EB7B34}" uniqueName="2" name="Movie_Count" queryTableFieldId="2" dataDxfId="9"/>
    <tableColumn id="3" xr3:uid="{1E893FAF-8403-42D3-A892-16E7843261E4}" uniqueName="3" name="Avg_Rating" queryTableFieldId="3" dataDxfId="8"/>
    <tableColumn id="5" xr3:uid="{D119A389-B09C-40CA-AA4B-A9B7F8AE6E73}" uniqueName="5" name="Rating_Level" queryTableFieldId="5"/>
    <tableColumn id="6" xr3:uid="{134DADE2-D062-495F-8DF0-C6617D94BFD2}" uniqueName="6" name="Avg_Metascore" queryTableFieldId="6" dataDxfId="7"/>
    <tableColumn id="8" xr3:uid="{69B99737-CAD7-4DDB-ADC1-0D898647DBA3}" uniqueName="8" name="Metascore_Level" queryTableFieldId="8"/>
    <tableColumn id="9" xr3:uid="{15F2253F-2CAF-4D41-9AA7-DCF4D9469FE8}" uniqueName="9" name="Avg_Gross" queryTableFieldId="9" dataDxfId="6"/>
    <tableColumn id="11" xr3:uid="{4DA15F94-A395-4E33-BEF6-1D102298D0A9}" uniqueName="11" name="Gross_Level" queryTableFieldId="11"/>
    <tableColumn id="12" xr3:uid="{E9C09160-93DE-431B-B263-FA749165D234}" uniqueName="12" name="Overall_Class" queryTableFieldId="12" dataDxfId="5"/>
    <tableColumn id="13" xr3:uid="{FF91F1C2-4EEA-4F34-8567-86F2ABB4EBD7}" uniqueName="13" name="Overall_Score"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C817F5-4195-4B13-A2F5-869A863DDD97}" name="Table2" displayName="Table2" ref="A1:D110" totalsRowShown="0" dataDxfId="4">
  <tableColumns count="4">
    <tableColumn id="2" xr3:uid="{40400ECC-5126-486A-B0C5-EB32E0990342}" name="Runtime (Minutes)" dataDxfId="3"/>
    <tableColumn id="3" xr3:uid="{1B60F213-5FAA-496B-B5C8-4AC4E69E11C6}" name="Rating" dataDxfId="2"/>
    <tableColumn id="4" xr3:uid="{ADB6D722-372E-4239-8C7C-1E0FE9C6F4E2}" name="Metascore" dataDxfId="1"/>
    <tableColumn id="5" xr3:uid="{BE52CFB1-B97C-4A21-BD6A-7720B6BC6E67}" name="Gross Revenue (in Mill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C87DB-65AC-4804-B3C1-1E902676B903}">
  <dimension ref="A1:H110"/>
  <sheetViews>
    <sheetView workbookViewId="0">
      <selection activeCell="L20" sqref="L20"/>
    </sheetView>
  </sheetViews>
  <sheetFormatPr defaultRowHeight="14.5" x14ac:dyDescent="0.35"/>
  <cols>
    <col min="1" max="1" width="60.08984375" style="85" bestFit="1" customWidth="1"/>
    <col min="2" max="2" width="29.6328125" style="85" bestFit="1" customWidth="1"/>
    <col min="3" max="3" width="11.54296875" style="85" bestFit="1" customWidth="1"/>
    <col min="4" max="4" width="7.6328125" style="85" bestFit="1" customWidth="1"/>
    <col min="5" max="5" width="26.54296875" style="85" bestFit="1" customWidth="1"/>
    <col min="6" max="6" width="5.90625" style="85" bestFit="1" customWidth="1"/>
    <col min="7" max="7" width="9.81640625" style="85" bestFit="1" customWidth="1"/>
    <col min="8" max="8" width="9.1796875" style="85" bestFit="1" customWidth="1"/>
    <col min="9" max="16384" width="8.7265625" style="85"/>
  </cols>
  <sheetData>
    <row r="1" spans="1:8" x14ac:dyDescent="0.35">
      <c r="A1" s="82" t="s">
        <v>334</v>
      </c>
      <c r="B1" s="83" t="s">
        <v>335</v>
      </c>
      <c r="C1" s="83" t="s">
        <v>336</v>
      </c>
      <c r="D1" s="83" t="s">
        <v>337</v>
      </c>
      <c r="E1" s="83" t="s">
        <v>338</v>
      </c>
      <c r="F1" s="83" t="s">
        <v>339</v>
      </c>
      <c r="G1" s="83" t="s">
        <v>340</v>
      </c>
      <c r="H1" s="84" t="s">
        <v>341</v>
      </c>
    </row>
    <row r="2" spans="1:8" x14ac:dyDescent="0.35">
      <c r="A2" s="86" t="s">
        <v>8</v>
      </c>
      <c r="B2" s="87" t="s">
        <v>9</v>
      </c>
      <c r="C2" s="87">
        <v>-1994</v>
      </c>
      <c r="D2" s="87" t="s">
        <v>342</v>
      </c>
      <c r="E2" s="87" t="s">
        <v>10</v>
      </c>
      <c r="F2" s="87" t="s">
        <v>343</v>
      </c>
      <c r="G2" s="87">
        <v>82</v>
      </c>
      <c r="H2" s="88" t="s">
        <v>344</v>
      </c>
    </row>
    <row r="3" spans="1:8" x14ac:dyDescent="0.35">
      <c r="A3" s="86" t="s">
        <v>11</v>
      </c>
      <c r="B3" s="87" t="s">
        <v>12</v>
      </c>
      <c r="C3" s="87">
        <v>-1972</v>
      </c>
      <c r="D3" s="87" t="s">
        <v>345</v>
      </c>
      <c r="E3" s="87" t="s">
        <v>13</v>
      </c>
      <c r="F3" s="87" t="s">
        <v>346</v>
      </c>
      <c r="G3" s="87">
        <v>100</v>
      </c>
      <c r="H3" s="88" t="s">
        <v>347</v>
      </c>
    </row>
    <row r="4" spans="1:8" x14ac:dyDescent="0.35">
      <c r="A4" s="86" t="s">
        <v>14</v>
      </c>
      <c r="B4" s="87" t="s">
        <v>15</v>
      </c>
      <c r="C4" s="87">
        <v>-2008</v>
      </c>
      <c r="D4" s="87" t="s">
        <v>348</v>
      </c>
      <c r="E4" s="87" t="s">
        <v>16</v>
      </c>
      <c r="F4" s="87" t="s">
        <v>349</v>
      </c>
      <c r="G4" s="87">
        <v>84</v>
      </c>
      <c r="H4" s="88" t="s">
        <v>350</v>
      </c>
    </row>
    <row r="5" spans="1:8" x14ac:dyDescent="0.35">
      <c r="A5" s="86" t="s">
        <v>17</v>
      </c>
      <c r="B5" s="87" t="s">
        <v>18</v>
      </c>
      <c r="C5" s="87">
        <v>-1993</v>
      </c>
      <c r="D5" s="87" t="s">
        <v>351</v>
      </c>
      <c r="E5" s="87" t="s">
        <v>19</v>
      </c>
      <c r="F5" s="87" t="s">
        <v>349</v>
      </c>
      <c r="G5" s="87">
        <v>95</v>
      </c>
      <c r="H5" s="88" t="s">
        <v>352</v>
      </c>
    </row>
    <row r="6" spans="1:8" x14ac:dyDescent="0.35">
      <c r="A6" s="86" t="s">
        <v>20</v>
      </c>
      <c r="B6" s="87" t="s">
        <v>21</v>
      </c>
      <c r="C6" s="87">
        <v>-1957</v>
      </c>
      <c r="D6" s="87" t="s">
        <v>353</v>
      </c>
      <c r="E6" s="87" t="s">
        <v>13</v>
      </c>
      <c r="F6" s="87" t="s">
        <v>349</v>
      </c>
      <c r="G6" s="87">
        <v>97</v>
      </c>
      <c r="H6" s="88" t="s">
        <v>354</v>
      </c>
    </row>
    <row r="7" spans="1:8" x14ac:dyDescent="0.35">
      <c r="A7" s="86" t="s">
        <v>22</v>
      </c>
      <c r="B7" s="87" t="s">
        <v>23</v>
      </c>
      <c r="C7" s="87">
        <v>-2003</v>
      </c>
      <c r="D7" s="87" t="s">
        <v>355</v>
      </c>
      <c r="E7" s="87" t="s">
        <v>24</v>
      </c>
      <c r="F7" s="87" t="s">
        <v>349</v>
      </c>
      <c r="G7" s="87">
        <v>94</v>
      </c>
      <c r="H7" s="88" t="s">
        <v>356</v>
      </c>
    </row>
    <row r="8" spans="1:8" x14ac:dyDescent="0.35">
      <c r="A8" s="86" t="s">
        <v>25</v>
      </c>
      <c r="B8" s="87" t="s">
        <v>12</v>
      </c>
      <c r="C8" s="87">
        <v>-1974</v>
      </c>
      <c r="D8" s="87" t="s">
        <v>357</v>
      </c>
      <c r="E8" s="87" t="s">
        <v>13</v>
      </c>
      <c r="F8" s="87" t="s">
        <v>349</v>
      </c>
      <c r="G8" s="87">
        <v>90</v>
      </c>
      <c r="H8" s="88" t="s">
        <v>358</v>
      </c>
    </row>
    <row r="9" spans="1:8" x14ac:dyDescent="0.35">
      <c r="A9" s="86" t="s">
        <v>26</v>
      </c>
      <c r="B9" s="87" t="s">
        <v>27</v>
      </c>
      <c r="C9" s="87">
        <v>-1994</v>
      </c>
      <c r="D9" s="87" t="s">
        <v>359</v>
      </c>
      <c r="E9" s="87" t="s">
        <v>13</v>
      </c>
      <c r="F9" s="87" t="s">
        <v>360</v>
      </c>
      <c r="G9" s="87">
        <v>95</v>
      </c>
      <c r="H9" s="88" t="s">
        <v>361</v>
      </c>
    </row>
    <row r="10" spans="1:8" x14ac:dyDescent="0.35">
      <c r="A10" s="86" t="s">
        <v>28</v>
      </c>
      <c r="B10" s="87" t="s">
        <v>15</v>
      </c>
      <c r="C10" s="87">
        <v>-2010</v>
      </c>
      <c r="D10" s="87" t="s">
        <v>362</v>
      </c>
      <c r="E10" s="87" t="s">
        <v>29</v>
      </c>
      <c r="F10" s="87" t="s">
        <v>363</v>
      </c>
      <c r="G10" s="87">
        <v>74</v>
      </c>
      <c r="H10" s="88" t="s">
        <v>364</v>
      </c>
    </row>
    <row r="11" spans="1:8" x14ac:dyDescent="0.35">
      <c r="A11" s="86" t="s">
        <v>30</v>
      </c>
      <c r="B11" s="87" t="s">
        <v>23</v>
      </c>
      <c r="C11" s="87">
        <v>-2001</v>
      </c>
      <c r="D11" s="87" t="s">
        <v>365</v>
      </c>
      <c r="E11" s="87" t="s">
        <v>24</v>
      </c>
      <c r="F11" s="87" t="s">
        <v>363</v>
      </c>
      <c r="G11" s="87">
        <v>92</v>
      </c>
      <c r="H11" s="88" t="s">
        <v>366</v>
      </c>
    </row>
    <row r="12" spans="1:8" x14ac:dyDescent="0.35">
      <c r="A12" s="86" t="s">
        <v>31</v>
      </c>
      <c r="B12" s="87" t="s">
        <v>32</v>
      </c>
      <c r="C12" s="87">
        <v>-1999</v>
      </c>
      <c r="D12" s="87" t="s">
        <v>367</v>
      </c>
      <c r="E12" s="87" t="s">
        <v>10</v>
      </c>
      <c r="F12" s="87" t="s">
        <v>363</v>
      </c>
      <c r="G12" s="87">
        <v>67</v>
      </c>
      <c r="H12" s="88" t="s">
        <v>368</v>
      </c>
    </row>
    <row r="13" spans="1:8" x14ac:dyDescent="0.35">
      <c r="A13" s="86" t="s">
        <v>33</v>
      </c>
      <c r="B13" s="87" t="s">
        <v>34</v>
      </c>
      <c r="C13" s="87">
        <v>-1994</v>
      </c>
      <c r="D13" s="87" t="s">
        <v>342</v>
      </c>
      <c r="E13" s="87" t="s">
        <v>35</v>
      </c>
      <c r="F13" s="87" t="s">
        <v>363</v>
      </c>
      <c r="G13" s="87">
        <v>82</v>
      </c>
      <c r="H13" s="88" t="s">
        <v>369</v>
      </c>
    </row>
    <row r="14" spans="1:8" x14ac:dyDescent="0.35">
      <c r="A14" s="86" t="s">
        <v>36</v>
      </c>
      <c r="B14" s="87" t="s">
        <v>37</v>
      </c>
      <c r="C14" s="87">
        <v>-1966</v>
      </c>
      <c r="D14" s="87" t="s">
        <v>365</v>
      </c>
      <c r="E14" s="87" t="s">
        <v>38</v>
      </c>
      <c r="F14" s="87" t="s">
        <v>363</v>
      </c>
      <c r="G14" s="87">
        <v>90</v>
      </c>
      <c r="H14" s="88" t="s">
        <v>370</v>
      </c>
    </row>
    <row r="15" spans="1:8" x14ac:dyDescent="0.35">
      <c r="A15" s="86" t="s">
        <v>39</v>
      </c>
      <c r="B15" s="87" t="s">
        <v>23</v>
      </c>
      <c r="C15" s="87">
        <v>-2002</v>
      </c>
      <c r="D15" s="87" t="s">
        <v>371</v>
      </c>
      <c r="E15" s="87" t="s">
        <v>24</v>
      </c>
      <c r="F15" s="87" t="s">
        <v>363</v>
      </c>
      <c r="G15" s="87">
        <v>87</v>
      </c>
      <c r="H15" s="88" t="s">
        <v>372</v>
      </c>
    </row>
    <row r="16" spans="1:8" x14ac:dyDescent="0.35">
      <c r="A16" s="86" t="s">
        <v>40</v>
      </c>
      <c r="B16" s="87" t="s">
        <v>15</v>
      </c>
      <c r="C16" s="87">
        <v>-2014</v>
      </c>
      <c r="D16" s="87" t="s">
        <v>373</v>
      </c>
      <c r="E16" s="87" t="s">
        <v>41</v>
      </c>
      <c r="F16" s="87" t="s">
        <v>374</v>
      </c>
      <c r="G16" s="87">
        <v>74</v>
      </c>
      <c r="H16" s="88" t="s">
        <v>375</v>
      </c>
    </row>
    <row r="17" spans="1:8" x14ac:dyDescent="0.35">
      <c r="A17" s="86" t="s">
        <v>42</v>
      </c>
      <c r="B17" s="87" t="s">
        <v>43</v>
      </c>
      <c r="C17" s="87">
        <v>-1990</v>
      </c>
      <c r="D17" s="87" t="s">
        <v>376</v>
      </c>
      <c r="E17" s="87" t="s">
        <v>44</v>
      </c>
      <c r="F17" s="87" t="s">
        <v>374</v>
      </c>
      <c r="G17" s="87">
        <v>92</v>
      </c>
      <c r="H17" s="88" t="s">
        <v>377</v>
      </c>
    </row>
    <row r="18" spans="1:8" x14ac:dyDescent="0.35">
      <c r="A18" s="86" t="s">
        <v>45</v>
      </c>
      <c r="B18" s="87" t="s">
        <v>46</v>
      </c>
      <c r="C18" s="87">
        <v>-1999</v>
      </c>
      <c r="D18" s="87" t="s">
        <v>378</v>
      </c>
      <c r="E18" s="87" t="s">
        <v>47</v>
      </c>
      <c r="F18" s="87" t="s">
        <v>374</v>
      </c>
      <c r="G18" s="87">
        <v>73</v>
      </c>
      <c r="H18" s="88" t="s">
        <v>379</v>
      </c>
    </row>
    <row r="19" spans="1:8" x14ac:dyDescent="0.35">
      <c r="A19" s="86" t="s">
        <v>48</v>
      </c>
      <c r="B19" s="87" t="s">
        <v>49</v>
      </c>
      <c r="C19" s="87">
        <v>-1975</v>
      </c>
      <c r="D19" s="87" t="s">
        <v>380</v>
      </c>
      <c r="E19" s="87" t="s">
        <v>10</v>
      </c>
      <c r="F19" s="87" t="s">
        <v>374</v>
      </c>
      <c r="G19" s="87">
        <v>84</v>
      </c>
      <c r="H19" s="88" t="s">
        <v>381</v>
      </c>
    </row>
    <row r="20" spans="1:8" x14ac:dyDescent="0.35">
      <c r="A20" s="86" t="s">
        <v>50</v>
      </c>
      <c r="B20" s="87" t="s">
        <v>51</v>
      </c>
      <c r="C20" s="87">
        <v>-1980</v>
      </c>
      <c r="D20" s="87" t="s">
        <v>382</v>
      </c>
      <c r="E20" s="87" t="s">
        <v>52</v>
      </c>
      <c r="F20" s="87" t="s">
        <v>374</v>
      </c>
      <c r="G20" s="87">
        <v>82</v>
      </c>
      <c r="H20" s="88" t="s">
        <v>383</v>
      </c>
    </row>
    <row r="21" spans="1:8" x14ac:dyDescent="0.35">
      <c r="A21" s="86" t="s">
        <v>53</v>
      </c>
      <c r="B21" s="87" t="s">
        <v>9</v>
      </c>
      <c r="C21" s="87">
        <v>-1999</v>
      </c>
      <c r="D21" s="87" t="s">
        <v>384</v>
      </c>
      <c r="E21" s="87" t="s">
        <v>54</v>
      </c>
      <c r="F21" s="87" t="s">
        <v>385</v>
      </c>
      <c r="G21" s="87">
        <v>61</v>
      </c>
      <c r="H21" s="88" t="s">
        <v>386</v>
      </c>
    </row>
    <row r="22" spans="1:8" x14ac:dyDescent="0.35">
      <c r="A22" s="86" t="s">
        <v>55</v>
      </c>
      <c r="B22" s="87" t="s">
        <v>56</v>
      </c>
      <c r="C22" s="87">
        <v>-1991</v>
      </c>
      <c r="D22" s="87" t="s">
        <v>387</v>
      </c>
      <c r="E22" s="87" t="s">
        <v>47</v>
      </c>
      <c r="F22" s="87" t="s">
        <v>385</v>
      </c>
      <c r="G22" s="87">
        <v>75</v>
      </c>
      <c r="H22" s="88" t="s">
        <v>388</v>
      </c>
    </row>
    <row r="23" spans="1:8" x14ac:dyDescent="0.35">
      <c r="A23" s="86" t="s">
        <v>57</v>
      </c>
      <c r="B23" s="87" t="s">
        <v>32</v>
      </c>
      <c r="C23" s="87">
        <v>-1995</v>
      </c>
      <c r="D23" s="87" t="s">
        <v>389</v>
      </c>
      <c r="E23" s="87" t="s">
        <v>58</v>
      </c>
      <c r="F23" s="87" t="s">
        <v>385</v>
      </c>
      <c r="G23" s="87">
        <v>65</v>
      </c>
      <c r="H23" s="88" t="s">
        <v>390</v>
      </c>
    </row>
    <row r="24" spans="1:8" x14ac:dyDescent="0.35">
      <c r="A24" s="86" t="s">
        <v>59</v>
      </c>
      <c r="B24" s="87" t="s">
        <v>18</v>
      </c>
      <c r="C24" s="87">
        <v>-1998</v>
      </c>
      <c r="D24" s="87" t="s">
        <v>373</v>
      </c>
      <c r="E24" s="87" t="s">
        <v>60</v>
      </c>
      <c r="F24" s="87" t="s">
        <v>385</v>
      </c>
      <c r="G24" s="87">
        <v>91</v>
      </c>
      <c r="H24" s="88" t="s">
        <v>391</v>
      </c>
    </row>
    <row r="25" spans="1:8" x14ac:dyDescent="0.35">
      <c r="A25" s="86" t="s">
        <v>61</v>
      </c>
      <c r="B25" s="87" t="s">
        <v>62</v>
      </c>
      <c r="C25" s="87">
        <v>-1991</v>
      </c>
      <c r="D25" s="87" t="s">
        <v>392</v>
      </c>
      <c r="E25" s="87" t="s">
        <v>63</v>
      </c>
      <c r="F25" s="87" t="s">
        <v>385</v>
      </c>
      <c r="G25" s="87">
        <v>86</v>
      </c>
      <c r="H25" s="88" t="s">
        <v>393</v>
      </c>
    </row>
    <row r="26" spans="1:8" x14ac:dyDescent="0.35">
      <c r="A26" s="86" t="s">
        <v>64</v>
      </c>
      <c r="B26" s="87" t="s">
        <v>65</v>
      </c>
      <c r="C26" s="87">
        <v>-1977</v>
      </c>
      <c r="D26" s="87" t="s">
        <v>394</v>
      </c>
      <c r="E26" s="87" t="s">
        <v>52</v>
      </c>
      <c r="F26" s="87" t="s">
        <v>385</v>
      </c>
      <c r="G26" s="87">
        <v>90</v>
      </c>
      <c r="H26" s="88" t="s">
        <v>395</v>
      </c>
    </row>
    <row r="27" spans="1:8" x14ac:dyDescent="0.35">
      <c r="A27" s="86" t="s">
        <v>66</v>
      </c>
      <c r="B27" s="87" t="s">
        <v>67</v>
      </c>
      <c r="C27" s="87">
        <v>-2001</v>
      </c>
      <c r="D27" s="87" t="s">
        <v>396</v>
      </c>
      <c r="E27" s="87" t="s">
        <v>68</v>
      </c>
      <c r="F27" s="87" t="s">
        <v>385</v>
      </c>
      <c r="G27" s="87">
        <v>96</v>
      </c>
      <c r="H27" s="88" t="s">
        <v>397</v>
      </c>
    </row>
    <row r="28" spans="1:8" x14ac:dyDescent="0.35">
      <c r="A28" s="86" t="s">
        <v>69</v>
      </c>
      <c r="B28" s="87" t="s">
        <v>70</v>
      </c>
      <c r="C28" s="87">
        <v>-2002</v>
      </c>
      <c r="D28" s="87" t="s">
        <v>398</v>
      </c>
      <c r="E28" s="87" t="s">
        <v>13</v>
      </c>
      <c r="F28" s="87" t="s">
        <v>385</v>
      </c>
      <c r="G28" s="87">
        <v>79</v>
      </c>
      <c r="H28" s="88" t="s">
        <v>399</v>
      </c>
    </row>
    <row r="29" spans="1:8" x14ac:dyDescent="0.35">
      <c r="A29" s="86" t="s">
        <v>71</v>
      </c>
      <c r="B29" s="87" t="s">
        <v>72</v>
      </c>
      <c r="C29" s="87">
        <v>-1997</v>
      </c>
      <c r="D29" s="87" t="s">
        <v>400</v>
      </c>
      <c r="E29" s="87" t="s">
        <v>73</v>
      </c>
      <c r="F29" s="87" t="s">
        <v>385</v>
      </c>
      <c r="G29" s="87">
        <v>59</v>
      </c>
      <c r="H29" s="88" t="s">
        <v>401</v>
      </c>
    </row>
    <row r="30" spans="1:8" x14ac:dyDescent="0.35">
      <c r="A30" s="86" t="s">
        <v>74</v>
      </c>
      <c r="B30" s="87" t="s">
        <v>75</v>
      </c>
      <c r="C30" s="87">
        <v>-1954</v>
      </c>
      <c r="D30" s="87" t="s">
        <v>402</v>
      </c>
      <c r="E30" s="87" t="s">
        <v>76</v>
      </c>
      <c r="F30" s="87" t="s">
        <v>385</v>
      </c>
      <c r="G30" s="87">
        <v>98</v>
      </c>
      <c r="H30" s="88" t="s">
        <v>403</v>
      </c>
    </row>
    <row r="31" spans="1:8" x14ac:dyDescent="0.35">
      <c r="A31" s="86" t="s">
        <v>77</v>
      </c>
      <c r="B31" s="87" t="s">
        <v>78</v>
      </c>
      <c r="C31" s="87">
        <v>-1946</v>
      </c>
      <c r="D31" s="87" t="s">
        <v>398</v>
      </c>
      <c r="E31" s="87" t="s">
        <v>79</v>
      </c>
      <c r="F31" s="87" t="s">
        <v>385</v>
      </c>
      <c r="G31" s="87">
        <v>89</v>
      </c>
      <c r="H31" s="88">
        <v>0</v>
      </c>
    </row>
    <row r="32" spans="1:8" x14ac:dyDescent="0.35">
      <c r="A32" s="86" t="s">
        <v>80</v>
      </c>
      <c r="B32" s="87" t="s">
        <v>81</v>
      </c>
      <c r="C32" s="87">
        <v>-1962</v>
      </c>
      <c r="D32" s="87" t="s">
        <v>380</v>
      </c>
      <c r="E32" s="87" t="s">
        <v>82</v>
      </c>
      <c r="F32" s="87" t="s">
        <v>385</v>
      </c>
      <c r="G32" s="87">
        <v>85</v>
      </c>
      <c r="H32" s="88">
        <v>0</v>
      </c>
    </row>
    <row r="33" spans="1:8" x14ac:dyDescent="0.35">
      <c r="A33" s="86" t="s">
        <v>83</v>
      </c>
      <c r="B33" s="87" t="s">
        <v>84</v>
      </c>
      <c r="C33" s="87">
        <v>-2022</v>
      </c>
      <c r="D33" s="87" t="s">
        <v>404</v>
      </c>
      <c r="E33" s="87" t="s">
        <v>82</v>
      </c>
      <c r="F33" s="87" t="s">
        <v>385</v>
      </c>
      <c r="G33" s="87">
        <v>0</v>
      </c>
      <c r="H33" s="88">
        <v>0</v>
      </c>
    </row>
    <row r="34" spans="1:8" x14ac:dyDescent="0.35">
      <c r="A34" s="86" t="s">
        <v>85</v>
      </c>
      <c r="B34" s="87" t="s">
        <v>34</v>
      </c>
      <c r="C34" s="87">
        <v>-1985</v>
      </c>
      <c r="D34" s="87" t="s">
        <v>400</v>
      </c>
      <c r="E34" s="87" t="s">
        <v>86</v>
      </c>
      <c r="F34" s="87" t="s">
        <v>405</v>
      </c>
      <c r="G34" s="87">
        <v>87</v>
      </c>
      <c r="H34" s="88" t="s">
        <v>406</v>
      </c>
    </row>
    <row r="35" spans="1:8" x14ac:dyDescent="0.35">
      <c r="A35" s="86" t="s">
        <v>87</v>
      </c>
      <c r="B35" s="87" t="s">
        <v>43</v>
      </c>
      <c r="C35" s="87">
        <v>-2006</v>
      </c>
      <c r="D35" s="87" t="s">
        <v>407</v>
      </c>
      <c r="E35" s="87" t="s">
        <v>63</v>
      </c>
      <c r="F35" s="87" t="s">
        <v>405</v>
      </c>
      <c r="G35" s="87">
        <v>85</v>
      </c>
      <c r="H35" s="88" t="s">
        <v>408</v>
      </c>
    </row>
    <row r="36" spans="1:8" x14ac:dyDescent="0.35">
      <c r="A36" s="86" t="s">
        <v>88</v>
      </c>
      <c r="B36" s="87" t="s">
        <v>89</v>
      </c>
      <c r="C36" s="87">
        <v>-2000</v>
      </c>
      <c r="D36" s="87" t="s">
        <v>409</v>
      </c>
      <c r="E36" s="87" t="s">
        <v>24</v>
      </c>
      <c r="F36" s="87" t="s">
        <v>405</v>
      </c>
      <c r="G36" s="87">
        <v>67</v>
      </c>
      <c r="H36" s="88" t="s">
        <v>410</v>
      </c>
    </row>
    <row r="37" spans="1:8" x14ac:dyDescent="0.35">
      <c r="A37" s="86" t="s">
        <v>90</v>
      </c>
      <c r="B37" s="87" t="s">
        <v>89</v>
      </c>
      <c r="C37" s="87">
        <v>-1979</v>
      </c>
      <c r="D37" s="87" t="s">
        <v>411</v>
      </c>
      <c r="E37" s="87" t="s">
        <v>91</v>
      </c>
      <c r="F37" s="87" t="s">
        <v>405</v>
      </c>
      <c r="G37" s="87">
        <v>89</v>
      </c>
      <c r="H37" s="88" t="s">
        <v>412</v>
      </c>
    </row>
    <row r="38" spans="1:8" x14ac:dyDescent="0.35">
      <c r="A38" s="86" t="s">
        <v>92</v>
      </c>
      <c r="B38" s="87" t="s">
        <v>93</v>
      </c>
      <c r="C38" s="87">
        <v>-2019</v>
      </c>
      <c r="D38" s="87" t="s">
        <v>413</v>
      </c>
      <c r="E38" s="87" t="s">
        <v>94</v>
      </c>
      <c r="F38" s="87" t="s">
        <v>405</v>
      </c>
      <c r="G38" s="87">
        <v>96</v>
      </c>
      <c r="H38" s="88" t="s">
        <v>414</v>
      </c>
    </row>
    <row r="39" spans="1:8" x14ac:dyDescent="0.35">
      <c r="A39" s="86" t="s">
        <v>95</v>
      </c>
      <c r="B39" s="87" t="s">
        <v>15</v>
      </c>
      <c r="C39" s="87">
        <v>-2006</v>
      </c>
      <c r="D39" s="87" t="s">
        <v>398</v>
      </c>
      <c r="E39" s="87" t="s">
        <v>96</v>
      </c>
      <c r="F39" s="87" t="s">
        <v>405</v>
      </c>
      <c r="G39" s="87">
        <v>66</v>
      </c>
      <c r="H39" s="88" t="s">
        <v>415</v>
      </c>
    </row>
    <row r="40" spans="1:8" x14ac:dyDescent="0.35">
      <c r="A40" s="86" t="s">
        <v>97</v>
      </c>
      <c r="B40" s="87" t="s">
        <v>98</v>
      </c>
      <c r="C40" s="87">
        <v>-2014</v>
      </c>
      <c r="D40" s="87" t="s">
        <v>416</v>
      </c>
      <c r="E40" s="87" t="s">
        <v>99</v>
      </c>
      <c r="F40" s="87" t="s">
        <v>405</v>
      </c>
      <c r="G40" s="87">
        <v>89</v>
      </c>
      <c r="H40" s="88" t="s">
        <v>417</v>
      </c>
    </row>
    <row r="41" spans="1:8" x14ac:dyDescent="0.35">
      <c r="A41" s="86" t="s">
        <v>418</v>
      </c>
      <c r="B41" s="87" t="s">
        <v>100</v>
      </c>
      <c r="C41" s="87">
        <v>-1994</v>
      </c>
      <c r="D41" s="87" t="s">
        <v>419</v>
      </c>
      <c r="E41" s="87" t="s">
        <v>16</v>
      </c>
      <c r="F41" s="87" t="s">
        <v>405</v>
      </c>
      <c r="G41" s="87">
        <v>64</v>
      </c>
      <c r="H41" s="88" t="s">
        <v>420</v>
      </c>
    </row>
    <row r="42" spans="1:8" x14ac:dyDescent="0.35">
      <c r="A42" s="86" t="s">
        <v>101</v>
      </c>
      <c r="B42" s="87" t="s">
        <v>102</v>
      </c>
      <c r="C42" s="87">
        <v>-1994</v>
      </c>
      <c r="D42" s="87" t="s">
        <v>421</v>
      </c>
      <c r="E42" s="87" t="s">
        <v>103</v>
      </c>
      <c r="F42" s="87" t="s">
        <v>405</v>
      </c>
      <c r="G42" s="87">
        <v>88</v>
      </c>
      <c r="H42" s="88" t="s">
        <v>422</v>
      </c>
    </row>
    <row r="43" spans="1:8" x14ac:dyDescent="0.35">
      <c r="A43" s="86" t="s">
        <v>104</v>
      </c>
      <c r="B43" s="87" t="s">
        <v>105</v>
      </c>
      <c r="C43" s="87">
        <v>-1995</v>
      </c>
      <c r="D43" s="87" t="s">
        <v>416</v>
      </c>
      <c r="E43" s="87" t="s">
        <v>58</v>
      </c>
      <c r="F43" s="87" t="s">
        <v>405</v>
      </c>
      <c r="G43" s="87">
        <v>77</v>
      </c>
      <c r="H43" s="88" t="s">
        <v>423</v>
      </c>
    </row>
    <row r="44" spans="1:8" x14ac:dyDescent="0.35">
      <c r="A44" s="86" t="s">
        <v>106</v>
      </c>
      <c r="B44" s="87" t="s">
        <v>107</v>
      </c>
      <c r="C44" s="87">
        <v>-1942</v>
      </c>
      <c r="D44" s="87" t="s">
        <v>424</v>
      </c>
      <c r="E44" s="87" t="s">
        <v>108</v>
      </c>
      <c r="F44" s="87" t="s">
        <v>405</v>
      </c>
      <c r="G44" s="87">
        <v>100</v>
      </c>
      <c r="H44" s="88" t="s">
        <v>425</v>
      </c>
    </row>
    <row r="45" spans="1:8" x14ac:dyDescent="0.35">
      <c r="A45" s="86" t="s">
        <v>109</v>
      </c>
      <c r="B45" s="87" t="s">
        <v>110</v>
      </c>
      <c r="C45" s="87">
        <v>-1998</v>
      </c>
      <c r="D45" s="87" t="s">
        <v>426</v>
      </c>
      <c r="E45" s="87" t="s">
        <v>13</v>
      </c>
      <c r="F45" s="87" t="s">
        <v>405</v>
      </c>
      <c r="G45" s="87">
        <v>62</v>
      </c>
      <c r="H45" s="88" t="s">
        <v>427</v>
      </c>
    </row>
    <row r="46" spans="1:8" x14ac:dyDescent="0.35">
      <c r="A46" s="86" t="s">
        <v>111</v>
      </c>
      <c r="B46" s="87" t="s">
        <v>112</v>
      </c>
      <c r="C46" s="87">
        <v>-1960</v>
      </c>
      <c r="D46" s="87" t="s">
        <v>428</v>
      </c>
      <c r="E46" s="87" t="s">
        <v>113</v>
      </c>
      <c r="F46" s="87" t="s">
        <v>405</v>
      </c>
      <c r="G46" s="87">
        <v>97</v>
      </c>
      <c r="H46" s="88" t="s">
        <v>429</v>
      </c>
    </row>
    <row r="47" spans="1:8" x14ac:dyDescent="0.35">
      <c r="A47" s="86" t="s">
        <v>114</v>
      </c>
      <c r="B47" s="87" t="s">
        <v>115</v>
      </c>
      <c r="C47" s="87">
        <v>-2002</v>
      </c>
      <c r="D47" s="87" t="s">
        <v>430</v>
      </c>
      <c r="E47" s="87" t="s">
        <v>116</v>
      </c>
      <c r="F47" s="87" t="s">
        <v>405</v>
      </c>
      <c r="G47" s="87">
        <v>85</v>
      </c>
      <c r="H47" s="88" t="s">
        <v>431</v>
      </c>
    </row>
    <row r="48" spans="1:8" x14ac:dyDescent="0.35">
      <c r="A48" s="86" t="s">
        <v>117</v>
      </c>
      <c r="B48" s="87" t="s">
        <v>118</v>
      </c>
      <c r="C48" s="87">
        <v>-2011</v>
      </c>
      <c r="D48" s="87" t="s">
        <v>432</v>
      </c>
      <c r="E48" s="87" t="s">
        <v>119</v>
      </c>
      <c r="F48" s="87" t="s">
        <v>405</v>
      </c>
      <c r="G48" s="87">
        <v>57</v>
      </c>
      <c r="H48" s="88" t="s">
        <v>433</v>
      </c>
    </row>
    <row r="49" spans="1:8" x14ac:dyDescent="0.35">
      <c r="A49" s="86" t="s">
        <v>120</v>
      </c>
      <c r="B49" s="87" t="s">
        <v>37</v>
      </c>
      <c r="C49" s="87">
        <v>-1968</v>
      </c>
      <c r="D49" s="87" t="s">
        <v>434</v>
      </c>
      <c r="E49" s="87" t="s">
        <v>121</v>
      </c>
      <c r="F49" s="87" t="s">
        <v>405</v>
      </c>
      <c r="G49" s="87">
        <v>82</v>
      </c>
      <c r="H49" s="88" t="s">
        <v>435</v>
      </c>
    </row>
    <row r="50" spans="1:8" x14ac:dyDescent="0.35">
      <c r="A50" s="86" t="s">
        <v>122</v>
      </c>
      <c r="B50" s="87" t="s">
        <v>123</v>
      </c>
      <c r="C50" s="87">
        <v>-1988</v>
      </c>
      <c r="D50" s="87" t="s">
        <v>436</v>
      </c>
      <c r="E50" s="87" t="s">
        <v>124</v>
      </c>
      <c r="F50" s="87" t="s">
        <v>405</v>
      </c>
      <c r="G50" s="87">
        <v>94</v>
      </c>
      <c r="H50" s="88">
        <v>0</v>
      </c>
    </row>
    <row r="51" spans="1:8" x14ac:dyDescent="0.35">
      <c r="A51" s="86" t="s">
        <v>125</v>
      </c>
      <c r="B51" s="87" t="s">
        <v>112</v>
      </c>
      <c r="C51" s="87">
        <v>-1954</v>
      </c>
      <c r="D51" s="87" t="s">
        <v>432</v>
      </c>
      <c r="E51" s="87" t="s">
        <v>126</v>
      </c>
      <c r="F51" s="87" t="s">
        <v>405</v>
      </c>
      <c r="G51" s="87">
        <v>100</v>
      </c>
      <c r="H51" s="88" t="s">
        <v>437</v>
      </c>
    </row>
    <row r="52" spans="1:8" x14ac:dyDescent="0.35">
      <c r="A52" s="86" t="s">
        <v>127</v>
      </c>
      <c r="B52" s="87" t="s">
        <v>128</v>
      </c>
      <c r="C52" s="87">
        <v>-1988</v>
      </c>
      <c r="D52" s="87" t="s">
        <v>409</v>
      </c>
      <c r="E52" s="87" t="s">
        <v>35</v>
      </c>
      <c r="F52" s="87" t="s">
        <v>405</v>
      </c>
      <c r="G52" s="87">
        <v>80</v>
      </c>
      <c r="H52" s="88" t="s">
        <v>438</v>
      </c>
    </row>
    <row r="53" spans="1:8" x14ac:dyDescent="0.35">
      <c r="A53" s="86" t="s">
        <v>129</v>
      </c>
      <c r="B53" s="87" t="s">
        <v>130</v>
      </c>
      <c r="C53" s="87">
        <v>-1936</v>
      </c>
      <c r="D53" s="87" t="s">
        <v>439</v>
      </c>
      <c r="E53" s="87" t="s">
        <v>73</v>
      </c>
      <c r="F53" s="87" t="s">
        <v>405</v>
      </c>
      <c r="G53" s="87">
        <v>96</v>
      </c>
      <c r="H53" s="88" t="s">
        <v>440</v>
      </c>
    </row>
    <row r="54" spans="1:8" x14ac:dyDescent="0.35">
      <c r="A54" s="86" t="s">
        <v>131</v>
      </c>
      <c r="B54" s="87" t="s">
        <v>130</v>
      </c>
      <c r="C54" s="87">
        <v>-1931</v>
      </c>
      <c r="D54" s="87" t="s">
        <v>439</v>
      </c>
      <c r="E54" s="87" t="s">
        <v>73</v>
      </c>
      <c r="F54" s="87" t="s">
        <v>405</v>
      </c>
      <c r="G54" s="87">
        <v>99</v>
      </c>
      <c r="H54" s="88" t="s">
        <v>441</v>
      </c>
    </row>
    <row r="55" spans="1:8" x14ac:dyDescent="0.35">
      <c r="A55" s="86">
        <v>96</v>
      </c>
      <c r="B55" s="87" t="s">
        <v>133</v>
      </c>
      <c r="C55" s="87" t="s">
        <v>442</v>
      </c>
      <c r="D55" s="87" t="s">
        <v>443</v>
      </c>
      <c r="E55" s="87" t="s">
        <v>35</v>
      </c>
      <c r="F55" s="87" t="s">
        <v>405</v>
      </c>
      <c r="G55" s="87">
        <v>0</v>
      </c>
      <c r="H55" s="88">
        <v>0</v>
      </c>
    </row>
    <row r="56" spans="1:8" x14ac:dyDescent="0.35">
      <c r="A56" s="86" t="s">
        <v>134</v>
      </c>
      <c r="B56" s="87" t="s">
        <v>18</v>
      </c>
      <c r="C56" s="87">
        <v>-1981</v>
      </c>
      <c r="D56" s="87" t="s">
        <v>444</v>
      </c>
      <c r="E56" s="87" t="s">
        <v>135</v>
      </c>
      <c r="F56" s="87" t="s">
        <v>445</v>
      </c>
      <c r="G56" s="87">
        <v>85</v>
      </c>
      <c r="H56" s="88" t="s">
        <v>446</v>
      </c>
    </row>
    <row r="57" spans="1:8" x14ac:dyDescent="0.35">
      <c r="A57" s="86" t="s">
        <v>136</v>
      </c>
      <c r="B57" s="87" t="s">
        <v>137</v>
      </c>
      <c r="C57" s="87">
        <v>-2018</v>
      </c>
      <c r="D57" s="87" t="s">
        <v>411</v>
      </c>
      <c r="E57" s="87" t="s">
        <v>138</v>
      </c>
      <c r="F57" s="87" t="s">
        <v>445</v>
      </c>
      <c r="G57" s="87">
        <v>87</v>
      </c>
      <c r="H57" s="88" t="s">
        <v>447</v>
      </c>
    </row>
    <row r="58" spans="1:8" x14ac:dyDescent="0.35">
      <c r="A58" s="86" t="s">
        <v>139</v>
      </c>
      <c r="B58" s="87" t="s">
        <v>140</v>
      </c>
      <c r="C58" s="87">
        <v>-2019</v>
      </c>
      <c r="D58" s="87" t="s">
        <v>448</v>
      </c>
      <c r="E58" s="87" t="s">
        <v>24</v>
      </c>
      <c r="F58" s="87" t="s">
        <v>445</v>
      </c>
      <c r="G58" s="87">
        <v>78</v>
      </c>
      <c r="H58" s="88" t="s">
        <v>449</v>
      </c>
    </row>
    <row r="59" spans="1:8" x14ac:dyDescent="0.35">
      <c r="A59" s="86" t="s">
        <v>141</v>
      </c>
      <c r="B59" s="87" t="s">
        <v>27</v>
      </c>
      <c r="C59" s="87">
        <v>-2012</v>
      </c>
      <c r="D59" s="87" t="s">
        <v>434</v>
      </c>
      <c r="E59" s="87" t="s">
        <v>142</v>
      </c>
      <c r="F59" s="87" t="s">
        <v>445</v>
      </c>
      <c r="G59" s="87">
        <v>81</v>
      </c>
      <c r="H59" s="88" t="s">
        <v>450</v>
      </c>
    </row>
    <row r="60" spans="1:8" x14ac:dyDescent="0.35">
      <c r="A60" s="86" t="s">
        <v>143</v>
      </c>
      <c r="B60" s="87" t="s">
        <v>12</v>
      </c>
      <c r="C60" s="87">
        <v>-1979</v>
      </c>
      <c r="D60" s="87" t="s">
        <v>451</v>
      </c>
      <c r="E60" s="87" t="s">
        <v>144</v>
      </c>
      <c r="F60" s="87" t="s">
        <v>445</v>
      </c>
      <c r="G60" s="87">
        <v>94</v>
      </c>
      <c r="H60" s="88" t="s">
        <v>452</v>
      </c>
    </row>
    <row r="61" spans="1:8" x14ac:dyDescent="0.35">
      <c r="A61" s="86" t="s">
        <v>145</v>
      </c>
      <c r="B61" s="87" t="s">
        <v>56</v>
      </c>
      <c r="C61" s="87">
        <v>-1986</v>
      </c>
      <c r="D61" s="87" t="s">
        <v>387</v>
      </c>
      <c r="E61" s="87" t="s">
        <v>29</v>
      </c>
      <c r="F61" s="87" t="s">
        <v>445</v>
      </c>
      <c r="G61" s="87">
        <v>84</v>
      </c>
      <c r="H61" s="88" t="s">
        <v>453</v>
      </c>
    </row>
    <row r="62" spans="1:8" x14ac:dyDescent="0.35">
      <c r="A62" s="86" t="s">
        <v>146</v>
      </c>
      <c r="B62" s="87" t="s">
        <v>147</v>
      </c>
      <c r="C62" s="87" t="s">
        <v>454</v>
      </c>
      <c r="D62" s="87" t="s">
        <v>455</v>
      </c>
      <c r="E62" s="87" t="s">
        <v>63</v>
      </c>
      <c r="F62" s="87" t="s">
        <v>445</v>
      </c>
      <c r="G62" s="87">
        <v>59</v>
      </c>
      <c r="H62" s="88" t="s">
        <v>456</v>
      </c>
    </row>
    <row r="63" spans="1:8" x14ac:dyDescent="0.35">
      <c r="A63" s="86" t="s">
        <v>148</v>
      </c>
      <c r="B63" s="87" t="s">
        <v>15</v>
      </c>
      <c r="C63" s="87">
        <v>-2012</v>
      </c>
      <c r="D63" s="87" t="s">
        <v>457</v>
      </c>
      <c r="E63" s="87" t="s">
        <v>149</v>
      </c>
      <c r="F63" s="87" t="s">
        <v>445</v>
      </c>
      <c r="G63" s="87">
        <v>78</v>
      </c>
      <c r="H63" s="88" t="s">
        <v>458</v>
      </c>
    </row>
    <row r="64" spans="1:8" x14ac:dyDescent="0.35">
      <c r="A64" s="86" t="s">
        <v>150</v>
      </c>
      <c r="B64" s="87" t="s">
        <v>140</v>
      </c>
      <c r="C64" s="87">
        <v>-2018</v>
      </c>
      <c r="D64" s="87" t="s">
        <v>459</v>
      </c>
      <c r="E64" s="87" t="s">
        <v>29</v>
      </c>
      <c r="F64" s="87" t="s">
        <v>445</v>
      </c>
      <c r="G64" s="87">
        <v>68</v>
      </c>
      <c r="H64" s="88" t="s">
        <v>460</v>
      </c>
    </row>
    <row r="65" spans="1:8" x14ac:dyDescent="0.35">
      <c r="A65" s="86" t="s">
        <v>151</v>
      </c>
      <c r="B65" s="87" t="s">
        <v>152</v>
      </c>
      <c r="C65" s="87">
        <v>-1980</v>
      </c>
      <c r="D65" s="87" t="s">
        <v>461</v>
      </c>
      <c r="E65" s="87" t="s">
        <v>153</v>
      </c>
      <c r="F65" s="87" t="s">
        <v>445</v>
      </c>
      <c r="G65" s="87">
        <v>66</v>
      </c>
      <c r="H65" s="88" t="s">
        <v>462</v>
      </c>
    </row>
    <row r="66" spans="1:8" x14ac:dyDescent="0.35">
      <c r="A66" s="86" t="s">
        <v>154</v>
      </c>
      <c r="B66" s="87" t="s">
        <v>155</v>
      </c>
      <c r="C66" s="87">
        <v>-2003</v>
      </c>
      <c r="D66" s="87" t="s">
        <v>463</v>
      </c>
      <c r="E66" s="87" t="s">
        <v>82</v>
      </c>
      <c r="F66" s="87" t="s">
        <v>445</v>
      </c>
      <c r="G66" s="87">
        <v>77</v>
      </c>
      <c r="H66" s="88" t="s">
        <v>464</v>
      </c>
    </row>
    <row r="67" spans="1:8" x14ac:dyDescent="0.35">
      <c r="A67" s="86" t="s">
        <v>156</v>
      </c>
      <c r="B67" s="87" t="s">
        <v>15</v>
      </c>
      <c r="C67" s="87">
        <v>-2000</v>
      </c>
      <c r="D67" s="87" t="s">
        <v>465</v>
      </c>
      <c r="E67" s="87" t="s">
        <v>126</v>
      </c>
      <c r="F67" s="87" t="s">
        <v>445</v>
      </c>
      <c r="G67" s="87">
        <v>83</v>
      </c>
      <c r="H67" s="88" t="s">
        <v>466</v>
      </c>
    </row>
    <row r="68" spans="1:8" x14ac:dyDescent="0.35">
      <c r="A68" s="86" t="s">
        <v>157</v>
      </c>
      <c r="B68" s="87" t="s">
        <v>49</v>
      </c>
      <c r="C68" s="87">
        <v>-1984</v>
      </c>
      <c r="D68" s="87" t="s">
        <v>467</v>
      </c>
      <c r="E68" s="87" t="s">
        <v>116</v>
      </c>
      <c r="F68" s="87" t="s">
        <v>445</v>
      </c>
      <c r="G68" s="87">
        <v>88</v>
      </c>
      <c r="H68" s="88" t="s">
        <v>468</v>
      </c>
    </row>
    <row r="69" spans="1:8" x14ac:dyDescent="0.35">
      <c r="A69" s="86" t="s">
        <v>158</v>
      </c>
      <c r="B69" s="87" t="s">
        <v>159</v>
      </c>
      <c r="C69" s="87">
        <v>-1985</v>
      </c>
      <c r="D69" s="87" t="s">
        <v>342</v>
      </c>
      <c r="E69" s="87" t="s">
        <v>160</v>
      </c>
      <c r="F69" s="87" t="s">
        <v>445</v>
      </c>
      <c r="G69" s="87">
        <v>0</v>
      </c>
      <c r="H69" s="88">
        <v>0</v>
      </c>
    </row>
    <row r="70" spans="1:8" x14ac:dyDescent="0.35">
      <c r="A70" s="86" t="s">
        <v>161</v>
      </c>
      <c r="B70" s="87" t="s">
        <v>162</v>
      </c>
      <c r="C70" s="87" t="s">
        <v>469</v>
      </c>
      <c r="D70" s="87" t="s">
        <v>470</v>
      </c>
      <c r="E70" s="87" t="s">
        <v>103</v>
      </c>
      <c r="F70" s="87" t="s">
        <v>445</v>
      </c>
      <c r="G70" s="87">
        <v>81</v>
      </c>
      <c r="H70" s="88" t="s">
        <v>471</v>
      </c>
    </row>
    <row r="71" spans="1:8" x14ac:dyDescent="0.35">
      <c r="A71" s="86" t="s">
        <v>163</v>
      </c>
      <c r="B71" s="87" t="s">
        <v>164</v>
      </c>
      <c r="C71" s="87">
        <v>-2016</v>
      </c>
      <c r="D71" s="87" t="s">
        <v>416</v>
      </c>
      <c r="E71" s="87" t="s">
        <v>165</v>
      </c>
      <c r="F71" s="87" t="s">
        <v>445</v>
      </c>
      <c r="G71" s="87">
        <v>81</v>
      </c>
      <c r="H71" s="88" t="s">
        <v>472</v>
      </c>
    </row>
    <row r="72" spans="1:8" x14ac:dyDescent="0.35">
      <c r="A72" s="86" t="s">
        <v>473</v>
      </c>
      <c r="B72" s="87" t="s">
        <v>166</v>
      </c>
      <c r="C72" s="87">
        <v>-2008</v>
      </c>
      <c r="D72" s="87" t="s">
        <v>474</v>
      </c>
      <c r="E72" s="87" t="s">
        <v>68</v>
      </c>
      <c r="F72" s="87" t="s">
        <v>445</v>
      </c>
      <c r="G72" s="87">
        <v>95</v>
      </c>
      <c r="H72" s="88" t="s">
        <v>475</v>
      </c>
    </row>
    <row r="73" spans="1:8" x14ac:dyDescent="0.35">
      <c r="A73" s="86" t="s">
        <v>167</v>
      </c>
      <c r="B73" s="87" t="s">
        <v>168</v>
      </c>
      <c r="C73" s="87">
        <v>-2009</v>
      </c>
      <c r="D73" s="87" t="s">
        <v>476</v>
      </c>
      <c r="E73" s="87" t="s">
        <v>169</v>
      </c>
      <c r="F73" s="87" t="s">
        <v>445</v>
      </c>
      <c r="G73" s="87">
        <v>67</v>
      </c>
      <c r="H73" s="88" t="s">
        <v>477</v>
      </c>
    </row>
    <row r="74" spans="1:8" x14ac:dyDescent="0.35">
      <c r="A74" s="86" t="s">
        <v>170</v>
      </c>
      <c r="B74" s="87" t="s">
        <v>171</v>
      </c>
      <c r="C74" s="87">
        <v>-2006</v>
      </c>
      <c r="D74" s="87" t="s">
        <v>387</v>
      </c>
      <c r="E74" s="87" t="s">
        <v>172</v>
      </c>
      <c r="F74" s="87" t="s">
        <v>445</v>
      </c>
      <c r="G74" s="87">
        <v>89</v>
      </c>
      <c r="H74" s="88" t="s">
        <v>478</v>
      </c>
    </row>
    <row r="75" spans="1:8" x14ac:dyDescent="0.35">
      <c r="A75" s="86" t="s">
        <v>173</v>
      </c>
      <c r="B75" s="87" t="s">
        <v>152</v>
      </c>
      <c r="C75" s="87">
        <v>-1964</v>
      </c>
      <c r="D75" s="87" t="s">
        <v>479</v>
      </c>
      <c r="E75" s="87" t="s">
        <v>174</v>
      </c>
      <c r="F75" s="87" t="s">
        <v>445</v>
      </c>
      <c r="G75" s="87">
        <v>97</v>
      </c>
      <c r="H75" s="88" t="s">
        <v>480</v>
      </c>
    </row>
    <row r="76" spans="1:8" x14ac:dyDescent="0.35">
      <c r="A76" s="86" t="s">
        <v>175</v>
      </c>
      <c r="B76" s="87" t="s">
        <v>176</v>
      </c>
      <c r="C76" s="87">
        <v>-1981</v>
      </c>
      <c r="D76" s="87" t="s">
        <v>459</v>
      </c>
      <c r="E76" s="87" t="s">
        <v>60</v>
      </c>
      <c r="F76" s="87" t="s">
        <v>445</v>
      </c>
      <c r="G76" s="87">
        <v>86</v>
      </c>
      <c r="H76" s="88" t="s">
        <v>481</v>
      </c>
    </row>
    <row r="77" spans="1:8" x14ac:dyDescent="0.35">
      <c r="A77" s="86" t="s">
        <v>177</v>
      </c>
      <c r="B77" s="87" t="s">
        <v>178</v>
      </c>
      <c r="C77" s="87">
        <v>-2018</v>
      </c>
      <c r="D77" s="87" t="s">
        <v>482</v>
      </c>
      <c r="E77" s="87" t="s">
        <v>10</v>
      </c>
      <c r="F77" s="87" t="s">
        <v>445</v>
      </c>
      <c r="G77" s="87">
        <v>75</v>
      </c>
      <c r="H77" s="88" t="s">
        <v>483</v>
      </c>
    </row>
    <row r="78" spans="1:8" x14ac:dyDescent="0.35">
      <c r="A78" s="86" t="s">
        <v>179</v>
      </c>
      <c r="B78" s="87" t="s">
        <v>180</v>
      </c>
      <c r="C78" s="87">
        <v>-1950</v>
      </c>
      <c r="D78" s="87" t="s">
        <v>419</v>
      </c>
      <c r="E78" s="87" t="s">
        <v>181</v>
      </c>
      <c r="F78" s="87" t="s">
        <v>445</v>
      </c>
      <c r="G78" s="87">
        <v>94</v>
      </c>
      <c r="H78" s="88">
        <v>0</v>
      </c>
    </row>
    <row r="79" spans="1:8" x14ac:dyDescent="0.35">
      <c r="A79" s="86" t="s">
        <v>182</v>
      </c>
      <c r="B79" s="87" t="s">
        <v>152</v>
      </c>
      <c r="C79" s="87">
        <v>-1957</v>
      </c>
      <c r="D79" s="87" t="s">
        <v>421</v>
      </c>
      <c r="E79" s="87" t="s">
        <v>60</v>
      </c>
      <c r="F79" s="87" t="s">
        <v>445</v>
      </c>
      <c r="G79" s="87">
        <v>90</v>
      </c>
      <c r="H79" s="88">
        <v>0</v>
      </c>
    </row>
    <row r="80" spans="1:8" x14ac:dyDescent="0.35">
      <c r="A80" s="86" t="s">
        <v>183</v>
      </c>
      <c r="B80" s="87" t="s">
        <v>180</v>
      </c>
      <c r="C80" s="87">
        <v>-1957</v>
      </c>
      <c r="D80" s="87" t="s">
        <v>400</v>
      </c>
      <c r="E80" s="87" t="s">
        <v>58</v>
      </c>
      <c r="F80" s="87" t="s">
        <v>445</v>
      </c>
      <c r="G80" s="87">
        <v>76</v>
      </c>
      <c r="H80" s="88" t="s">
        <v>484</v>
      </c>
    </row>
    <row r="81" spans="1:8" x14ac:dyDescent="0.35">
      <c r="A81" s="86" t="s">
        <v>184</v>
      </c>
      <c r="B81" s="87" t="s">
        <v>130</v>
      </c>
      <c r="C81" s="87">
        <v>-1940</v>
      </c>
      <c r="D81" s="87" t="s">
        <v>396</v>
      </c>
      <c r="E81" s="87" t="s">
        <v>185</v>
      </c>
      <c r="F81" s="87" t="s">
        <v>445</v>
      </c>
      <c r="G81" s="87">
        <v>0</v>
      </c>
      <c r="H81" s="88" t="s">
        <v>485</v>
      </c>
    </row>
    <row r="82" spans="1:8" x14ac:dyDescent="0.35">
      <c r="A82" s="86" t="s">
        <v>186</v>
      </c>
      <c r="B82" s="87" t="s">
        <v>75</v>
      </c>
      <c r="C82" s="87">
        <v>-1963</v>
      </c>
      <c r="D82" s="87" t="s">
        <v>486</v>
      </c>
      <c r="E82" s="87" t="s">
        <v>58</v>
      </c>
      <c r="F82" s="87" t="s">
        <v>445</v>
      </c>
      <c r="G82" s="87">
        <v>90</v>
      </c>
      <c r="H82" s="88">
        <v>0</v>
      </c>
    </row>
    <row r="83" spans="1:8" x14ac:dyDescent="0.35">
      <c r="A83" s="86" t="s">
        <v>187</v>
      </c>
      <c r="B83" s="87" t="s">
        <v>188</v>
      </c>
      <c r="C83" s="87">
        <v>-2019</v>
      </c>
      <c r="D83" s="87" t="s">
        <v>376</v>
      </c>
      <c r="E83" s="87" t="s">
        <v>189</v>
      </c>
      <c r="F83" s="87" t="s">
        <v>445</v>
      </c>
      <c r="G83" s="87">
        <v>0</v>
      </c>
      <c r="H83" s="88">
        <v>0</v>
      </c>
    </row>
    <row r="84" spans="1:8" x14ac:dyDescent="0.35">
      <c r="A84" s="86" t="s">
        <v>190</v>
      </c>
      <c r="B84" s="87" t="s">
        <v>191</v>
      </c>
      <c r="C84" s="87">
        <v>-2021</v>
      </c>
      <c r="D84" s="87" t="s">
        <v>457</v>
      </c>
      <c r="E84" s="87" t="s">
        <v>44</v>
      </c>
      <c r="F84" s="87" t="s">
        <v>445</v>
      </c>
      <c r="G84" s="87">
        <v>0</v>
      </c>
      <c r="H84" s="88">
        <v>0</v>
      </c>
    </row>
    <row r="85" spans="1:8" x14ac:dyDescent="0.35">
      <c r="A85" s="86" t="s">
        <v>192</v>
      </c>
      <c r="B85" s="87" t="s">
        <v>193</v>
      </c>
      <c r="C85" s="87">
        <v>-2019</v>
      </c>
      <c r="D85" s="87" t="s">
        <v>487</v>
      </c>
      <c r="E85" s="87" t="s">
        <v>76</v>
      </c>
      <c r="F85" s="87" t="s">
        <v>445</v>
      </c>
      <c r="G85" s="87">
        <v>0</v>
      </c>
      <c r="H85" s="88">
        <v>0</v>
      </c>
    </row>
    <row r="86" spans="1:8" x14ac:dyDescent="0.35">
      <c r="A86" s="86" t="s">
        <v>194</v>
      </c>
      <c r="B86" s="87" t="s">
        <v>195</v>
      </c>
      <c r="C86" s="87">
        <v>-2021</v>
      </c>
      <c r="D86" s="87" t="s">
        <v>348</v>
      </c>
      <c r="E86" s="87" t="s">
        <v>63</v>
      </c>
      <c r="F86" s="87" t="s">
        <v>445</v>
      </c>
      <c r="G86" s="87">
        <v>0</v>
      </c>
      <c r="H86" s="88">
        <v>0</v>
      </c>
    </row>
    <row r="87" spans="1:8" x14ac:dyDescent="0.35">
      <c r="A87" s="86" t="s">
        <v>196</v>
      </c>
      <c r="B87" s="87" t="s">
        <v>197</v>
      </c>
      <c r="C87" s="87">
        <v>-2022</v>
      </c>
      <c r="D87" s="87" t="s">
        <v>398</v>
      </c>
      <c r="E87" s="87" t="s">
        <v>76</v>
      </c>
      <c r="F87" s="87" t="s">
        <v>488</v>
      </c>
      <c r="G87" s="87">
        <v>78</v>
      </c>
      <c r="H87" s="88" t="s">
        <v>489</v>
      </c>
    </row>
    <row r="88" spans="1:8" x14ac:dyDescent="0.35">
      <c r="A88" s="86" t="s">
        <v>198</v>
      </c>
      <c r="B88" s="87" t="s">
        <v>199</v>
      </c>
      <c r="C88" s="87">
        <v>-1995</v>
      </c>
      <c r="D88" s="87" t="s">
        <v>476</v>
      </c>
      <c r="E88" s="87" t="s">
        <v>16</v>
      </c>
      <c r="F88" s="87" t="s">
        <v>488</v>
      </c>
      <c r="G88" s="87">
        <v>76</v>
      </c>
      <c r="H88" s="88" t="s">
        <v>490</v>
      </c>
    </row>
    <row r="89" spans="1:8" x14ac:dyDescent="0.35">
      <c r="A89" s="86" t="s">
        <v>200</v>
      </c>
      <c r="B89" s="87" t="s">
        <v>27</v>
      </c>
      <c r="C89" s="87">
        <v>-2009</v>
      </c>
      <c r="D89" s="87" t="s">
        <v>491</v>
      </c>
      <c r="E89" s="87" t="s">
        <v>201</v>
      </c>
      <c r="F89" s="87" t="s">
        <v>488</v>
      </c>
      <c r="G89" s="87">
        <v>69</v>
      </c>
      <c r="H89" s="88" t="s">
        <v>492</v>
      </c>
    </row>
    <row r="90" spans="1:8" x14ac:dyDescent="0.35">
      <c r="A90" s="86" t="s">
        <v>202</v>
      </c>
      <c r="B90" s="87" t="s">
        <v>152</v>
      </c>
      <c r="C90" s="87">
        <v>-1987</v>
      </c>
      <c r="D90" s="87" t="s">
        <v>400</v>
      </c>
      <c r="E90" s="87" t="s">
        <v>60</v>
      </c>
      <c r="F90" s="87" t="s">
        <v>488</v>
      </c>
      <c r="G90" s="87">
        <v>78</v>
      </c>
      <c r="H90" s="88" t="s">
        <v>493</v>
      </c>
    </row>
    <row r="91" spans="1:8" x14ac:dyDescent="0.35">
      <c r="A91" s="86" t="s">
        <v>203</v>
      </c>
      <c r="B91" s="87" t="s">
        <v>204</v>
      </c>
      <c r="C91" s="87">
        <v>-1983</v>
      </c>
      <c r="D91" s="87" t="s">
        <v>476</v>
      </c>
      <c r="E91" s="87" t="s">
        <v>13</v>
      </c>
      <c r="F91" s="87" t="s">
        <v>488</v>
      </c>
      <c r="G91" s="87">
        <v>65</v>
      </c>
      <c r="H91" s="88" t="s">
        <v>494</v>
      </c>
    </row>
    <row r="92" spans="1:8" x14ac:dyDescent="0.35">
      <c r="A92" s="86" t="s">
        <v>205</v>
      </c>
      <c r="B92" s="87" t="s">
        <v>206</v>
      </c>
      <c r="C92" s="87">
        <v>-1999</v>
      </c>
      <c r="D92" s="87" t="s">
        <v>455</v>
      </c>
      <c r="E92" s="87" t="s">
        <v>10</v>
      </c>
      <c r="F92" s="87" t="s">
        <v>488</v>
      </c>
      <c r="G92" s="87">
        <v>84</v>
      </c>
      <c r="H92" s="88" t="s">
        <v>495</v>
      </c>
    </row>
    <row r="93" spans="1:8" x14ac:dyDescent="0.35">
      <c r="A93" s="86" t="s">
        <v>207</v>
      </c>
      <c r="B93" s="87" t="s">
        <v>208</v>
      </c>
      <c r="C93" s="87">
        <v>-2000</v>
      </c>
      <c r="D93" s="87" t="s">
        <v>424</v>
      </c>
      <c r="E93" s="87" t="s">
        <v>10</v>
      </c>
      <c r="F93" s="87" t="s">
        <v>488</v>
      </c>
      <c r="G93" s="87">
        <v>71</v>
      </c>
      <c r="H93" s="88" t="s">
        <v>496</v>
      </c>
    </row>
    <row r="94" spans="1:8" x14ac:dyDescent="0.35">
      <c r="A94" s="86" t="s">
        <v>209</v>
      </c>
      <c r="B94" s="87" t="s">
        <v>210</v>
      </c>
      <c r="C94" s="87">
        <v>-1997</v>
      </c>
      <c r="D94" s="87" t="s">
        <v>482</v>
      </c>
      <c r="E94" s="87" t="s">
        <v>35</v>
      </c>
      <c r="F94" s="87" t="s">
        <v>488</v>
      </c>
      <c r="G94" s="87">
        <v>70</v>
      </c>
      <c r="H94" s="88" t="s">
        <v>497</v>
      </c>
    </row>
    <row r="95" spans="1:8" x14ac:dyDescent="0.35">
      <c r="A95" s="86" t="s">
        <v>211</v>
      </c>
      <c r="B95" s="87" t="s">
        <v>212</v>
      </c>
      <c r="C95" s="87">
        <v>-2004</v>
      </c>
      <c r="D95" s="87" t="s">
        <v>498</v>
      </c>
      <c r="E95" s="87" t="s">
        <v>213</v>
      </c>
      <c r="F95" s="87" t="s">
        <v>488</v>
      </c>
      <c r="G95" s="87">
        <v>89</v>
      </c>
      <c r="H95" s="88" t="s">
        <v>499</v>
      </c>
    </row>
    <row r="96" spans="1:8" x14ac:dyDescent="0.35">
      <c r="A96" s="86" t="s">
        <v>214</v>
      </c>
      <c r="B96" s="87" t="s">
        <v>152</v>
      </c>
      <c r="C96" s="87">
        <v>-1971</v>
      </c>
      <c r="D96" s="87" t="s">
        <v>378</v>
      </c>
      <c r="E96" s="87" t="s">
        <v>215</v>
      </c>
      <c r="F96" s="87" t="s">
        <v>488</v>
      </c>
      <c r="G96" s="87">
        <v>77</v>
      </c>
      <c r="H96" s="88" t="s">
        <v>500</v>
      </c>
    </row>
    <row r="97" spans="1:8" x14ac:dyDescent="0.35">
      <c r="A97" s="86" t="s">
        <v>216</v>
      </c>
      <c r="B97" s="87" t="s">
        <v>112</v>
      </c>
      <c r="C97" s="87">
        <v>-1958</v>
      </c>
      <c r="D97" s="87" t="s">
        <v>501</v>
      </c>
      <c r="E97" s="87" t="s">
        <v>217</v>
      </c>
      <c r="F97" s="87" t="s">
        <v>488</v>
      </c>
      <c r="G97" s="87">
        <v>100</v>
      </c>
      <c r="H97" s="88" t="s">
        <v>502</v>
      </c>
    </row>
    <row r="98" spans="1:8" x14ac:dyDescent="0.35">
      <c r="A98" s="86" t="s">
        <v>218</v>
      </c>
      <c r="B98" s="87" t="s">
        <v>219</v>
      </c>
      <c r="C98" s="87">
        <v>-1995</v>
      </c>
      <c r="D98" s="87" t="s">
        <v>365</v>
      </c>
      <c r="E98" s="87" t="s">
        <v>19</v>
      </c>
      <c r="F98" s="87" t="s">
        <v>488</v>
      </c>
      <c r="G98" s="87">
        <v>68</v>
      </c>
      <c r="H98" s="88" t="s">
        <v>503</v>
      </c>
    </row>
    <row r="99" spans="1:8" x14ac:dyDescent="0.35">
      <c r="A99" s="86" t="s">
        <v>220</v>
      </c>
      <c r="B99" s="87" t="s">
        <v>152</v>
      </c>
      <c r="C99" s="87">
        <v>-1968</v>
      </c>
      <c r="D99" s="87" t="s">
        <v>459</v>
      </c>
      <c r="E99" s="87" t="s">
        <v>221</v>
      </c>
      <c r="F99" s="87" t="s">
        <v>488</v>
      </c>
      <c r="G99" s="87">
        <v>84</v>
      </c>
      <c r="H99" s="88" t="s">
        <v>504</v>
      </c>
    </row>
    <row r="100" spans="1:8" x14ac:dyDescent="0.35">
      <c r="A100" s="86" t="s">
        <v>222</v>
      </c>
      <c r="B100" s="87" t="s">
        <v>27</v>
      </c>
      <c r="C100" s="87">
        <v>-1992</v>
      </c>
      <c r="D100" s="87" t="s">
        <v>505</v>
      </c>
      <c r="E100" s="87" t="s">
        <v>223</v>
      </c>
      <c r="F100" s="87" t="s">
        <v>488</v>
      </c>
      <c r="G100" s="87">
        <v>81</v>
      </c>
      <c r="H100" s="88" t="s">
        <v>506</v>
      </c>
    </row>
    <row r="101" spans="1:8" x14ac:dyDescent="0.35">
      <c r="A101" s="86" t="s">
        <v>224</v>
      </c>
      <c r="B101" s="87" t="s">
        <v>37</v>
      </c>
      <c r="C101" s="87">
        <v>-1984</v>
      </c>
      <c r="D101" s="87" t="s">
        <v>507</v>
      </c>
      <c r="E101" s="87" t="s">
        <v>13</v>
      </c>
      <c r="F101" s="87" t="s">
        <v>488</v>
      </c>
      <c r="G101" s="87">
        <v>75</v>
      </c>
      <c r="H101" s="88" t="s">
        <v>435</v>
      </c>
    </row>
    <row r="102" spans="1:8" x14ac:dyDescent="0.35">
      <c r="A102" s="86" t="s">
        <v>225</v>
      </c>
      <c r="B102" s="87" t="s">
        <v>226</v>
      </c>
      <c r="C102" s="87">
        <v>-2012</v>
      </c>
      <c r="D102" s="87" t="s">
        <v>444</v>
      </c>
      <c r="E102" s="87" t="s">
        <v>10</v>
      </c>
      <c r="F102" s="87" t="s">
        <v>488</v>
      </c>
      <c r="G102" s="87">
        <v>77</v>
      </c>
      <c r="H102" s="88" t="s">
        <v>508</v>
      </c>
    </row>
    <row r="103" spans="1:8" x14ac:dyDescent="0.35">
      <c r="A103" s="86" t="s">
        <v>227</v>
      </c>
      <c r="B103" s="87" t="s">
        <v>228</v>
      </c>
      <c r="C103" s="87">
        <v>-1995</v>
      </c>
      <c r="D103" s="87" t="s">
        <v>509</v>
      </c>
      <c r="E103" s="87" t="s">
        <v>229</v>
      </c>
      <c r="F103" s="87" t="s">
        <v>488</v>
      </c>
      <c r="G103" s="87">
        <v>96</v>
      </c>
      <c r="H103" s="88" t="s">
        <v>510</v>
      </c>
    </row>
    <row r="104" spans="1:8" x14ac:dyDescent="0.35">
      <c r="A104" s="86" t="s">
        <v>230</v>
      </c>
      <c r="B104" s="87" t="s">
        <v>231</v>
      </c>
      <c r="C104" s="87">
        <v>-2020</v>
      </c>
      <c r="D104" s="87" t="s">
        <v>467</v>
      </c>
      <c r="E104" s="87" t="s">
        <v>19</v>
      </c>
      <c r="F104" s="87" t="s">
        <v>488</v>
      </c>
      <c r="G104" s="87">
        <v>89</v>
      </c>
      <c r="H104" s="88">
        <v>0</v>
      </c>
    </row>
    <row r="105" spans="1:8" x14ac:dyDescent="0.35">
      <c r="A105" s="86" t="s">
        <v>232</v>
      </c>
      <c r="B105" s="87" t="s">
        <v>233</v>
      </c>
      <c r="C105" s="87">
        <v>-2009</v>
      </c>
      <c r="D105" s="87" t="s">
        <v>353</v>
      </c>
      <c r="E105" s="87" t="s">
        <v>229</v>
      </c>
      <c r="F105" s="87" t="s">
        <v>488</v>
      </c>
      <c r="G105" s="87">
        <v>88</v>
      </c>
      <c r="H105" s="88" t="s">
        <v>511</v>
      </c>
    </row>
    <row r="106" spans="1:8" x14ac:dyDescent="0.35">
      <c r="A106" s="86" t="s">
        <v>234</v>
      </c>
      <c r="B106" s="87" t="s">
        <v>235</v>
      </c>
      <c r="C106" s="87">
        <v>-1983</v>
      </c>
      <c r="D106" s="87" t="s">
        <v>512</v>
      </c>
      <c r="E106" s="87" t="s">
        <v>52</v>
      </c>
      <c r="F106" s="87" t="s">
        <v>488</v>
      </c>
      <c r="G106" s="87">
        <v>58</v>
      </c>
      <c r="H106" s="88" t="s">
        <v>513</v>
      </c>
    </row>
    <row r="107" spans="1:8" x14ac:dyDescent="0.35">
      <c r="A107" s="86" t="s">
        <v>514</v>
      </c>
      <c r="B107" s="87" t="s">
        <v>236</v>
      </c>
      <c r="C107" s="87">
        <v>-2001</v>
      </c>
      <c r="D107" s="87" t="s">
        <v>455</v>
      </c>
      <c r="E107" s="87" t="s">
        <v>237</v>
      </c>
      <c r="F107" s="87" t="s">
        <v>488</v>
      </c>
      <c r="G107" s="87">
        <v>69</v>
      </c>
      <c r="H107" s="88" t="s">
        <v>515</v>
      </c>
    </row>
    <row r="108" spans="1:8" x14ac:dyDescent="0.35">
      <c r="A108" s="86" t="s">
        <v>238</v>
      </c>
      <c r="B108" s="87" t="s">
        <v>239</v>
      </c>
      <c r="C108" s="87">
        <v>-2010</v>
      </c>
      <c r="D108" s="87" t="s">
        <v>512</v>
      </c>
      <c r="E108" s="87" t="s">
        <v>240</v>
      </c>
      <c r="F108" s="87" t="s">
        <v>488</v>
      </c>
      <c r="G108" s="87">
        <v>80</v>
      </c>
      <c r="H108" s="88" t="s">
        <v>516</v>
      </c>
    </row>
    <row r="109" spans="1:8" x14ac:dyDescent="0.35">
      <c r="A109" s="86" t="s">
        <v>241</v>
      </c>
      <c r="B109" s="87" t="s">
        <v>242</v>
      </c>
      <c r="C109" s="87">
        <v>-1962</v>
      </c>
      <c r="D109" s="87" t="s">
        <v>517</v>
      </c>
      <c r="E109" s="87" t="s">
        <v>243</v>
      </c>
      <c r="F109" s="87" t="s">
        <v>488</v>
      </c>
      <c r="G109" s="87">
        <v>100</v>
      </c>
      <c r="H109" s="88" t="s">
        <v>518</v>
      </c>
    </row>
    <row r="110" spans="1:8" x14ac:dyDescent="0.35">
      <c r="A110" s="86" t="s">
        <v>244</v>
      </c>
      <c r="B110" s="87" t="s">
        <v>162</v>
      </c>
      <c r="C110" s="87">
        <v>-2010</v>
      </c>
      <c r="D110" s="87" t="s">
        <v>519</v>
      </c>
      <c r="E110" s="87" t="s">
        <v>229</v>
      </c>
      <c r="F110" s="87" t="s">
        <v>488</v>
      </c>
      <c r="G110" s="87">
        <v>92</v>
      </c>
      <c r="H110" s="88" t="s">
        <v>520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78A3-FE51-48A0-BE00-5E551BA44C7A}">
  <dimension ref="A1:H110"/>
  <sheetViews>
    <sheetView zoomScale="85" zoomScaleNormal="85" workbookViewId="0">
      <selection activeCell="A3" sqref="A2:H110"/>
    </sheetView>
  </sheetViews>
  <sheetFormatPr defaultRowHeight="14.5" x14ac:dyDescent="0.35"/>
  <cols>
    <col min="1" max="1" width="60.90625" style="12" bestFit="1" customWidth="1"/>
    <col min="2" max="2" width="30.1796875" style="12" bestFit="1" customWidth="1"/>
    <col min="3" max="3" width="17.26953125" style="2" bestFit="1" customWidth="1"/>
    <col min="4" max="4" width="22.54296875" style="10" bestFit="1" customWidth="1"/>
    <col min="5" max="5" width="27.1796875" style="13" bestFit="1" customWidth="1"/>
    <col min="6" max="6" width="11.7265625" style="8" bestFit="1" customWidth="1"/>
    <col min="7" max="7" width="15.453125" style="10" bestFit="1" customWidth="1"/>
    <col min="8" max="8" width="29.1796875" style="6" bestFit="1" customWidth="1"/>
  </cols>
  <sheetData>
    <row r="1" spans="1:8" s="3" customFormat="1" x14ac:dyDescent="0.35">
      <c r="A1" s="11" t="s">
        <v>0</v>
      </c>
      <c r="B1" s="11" t="s">
        <v>1</v>
      </c>
      <c r="C1" s="3" t="s">
        <v>2</v>
      </c>
      <c r="D1" s="9" t="s">
        <v>3</v>
      </c>
      <c r="E1" s="11" t="s">
        <v>4</v>
      </c>
      <c r="F1" s="7" t="s">
        <v>5</v>
      </c>
      <c r="G1" s="9" t="s">
        <v>6</v>
      </c>
      <c r="H1" s="5" t="s">
        <v>7</v>
      </c>
    </row>
    <row r="2" spans="1:8" x14ac:dyDescent="0.35">
      <c r="A2" s="1" t="s">
        <v>8</v>
      </c>
      <c r="B2" s="12" t="s">
        <v>9</v>
      </c>
      <c r="C2" s="14">
        <v>1994</v>
      </c>
      <c r="D2" s="14">
        <v>142</v>
      </c>
      <c r="E2" s="4" t="s">
        <v>10</v>
      </c>
      <c r="F2" s="14">
        <v>9.3000000000000007</v>
      </c>
      <c r="G2" s="14">
        <v>82</v>
      </c>
      <c r="H2" s="6">
        <v>28.34</v>
      </c>
    </row>
    <row r="3" spans="1:8" x14ac:dyDescent="0.35">
      <c r="A3" s="1" t="s">
        <v>11</v>
      </c>
      <c r="B3" s="12" t="s">
        <v>12</v>
      </c>
      <c r="C3" s="14">
        <v>1972</v>
      </c>
      <c r="D3" s="14">
        <v>175</v>
      </c>
      <c r="E3" s="4" t="s">
        <v>13</v>
      </c>
      <c r="F3" s="14">
        <v>9.1999999999999993</v>
      </c>
      <c r="G3" s="14">
        <v>100</v>
      </c>
      <c r="H3" s="6">
        <v>134.97</v>
      </c>
    </row>
    <row r="4" spans="1:8" x14ac:dyDescent="0.35">
      <c r="A4" s="1" t="s">
        <v>14</v>
      </c>
      <c r="B4" s="12" t="s">
        <v>15</v>
      </c>
      <c r="C4" s="14">
        <v>2008</v>
      </c>
      <c r="D4" s="14">
        <v>152</v>
      </c>
      <c r="E4" s="4" t="s">
        <v>16</v>
      </c>
      <c r="F4" s="14">
        <v>9</v>
      </c>
      <c r="G4" s="14">
        <v>84</v>
      </c>
      <c r="H4" s="6">
        <v>534.86</v>
      </c>
    </row>
    <row r="5" spans="1:8" x14ac:dyDescent="0.35">
      <c r="A5" s="1" t="s">
        <v>17</v>
      </c>
      <c r="B5" s="12" t="s">
        <v>18</v>
      </c>
      <c r="C5" s="14">
        <v>1993</v>
      </c>
      <c r="D5" s="14">
        <v>195</v>
      </c>
      <c r="E5" s="4" t="s">
        <v>19</v>
      </c>
      <c r="F5" s="14">
        <v>9</v>
      </c>
      <c r="G5" s="14">
        <v>95</v>
      </c>
      <c r="H5" s="6">
        <v>96.9</v>
      </c>
    </row>
    <row r="6" spans="1:8" x14ac:dyDescent="0.35">
      <c r="A6" s="1" t="s">
        <v>20</v>
      </c>
      <c r="B6" s="12" t="s">
        <v>21</v>
      </c>
      <c r="C6" s="14">
        <v>1957</v>
      </c>
      <c r="D6" s="14">
        <v>96</v>
      </c>
      <c r="E6" s="4" t="s">
        <v>13</v>
      </c>
      <c r="F6" s="14">
        <v>9</v>
      </c>
      <c r="G6" s="14">
        <v>97</v>
      </c>
      <c r="H6" s="6">
        <v>4.3600000000000003</v>
      </c>
    </row>
    <row r="7" spans="1:8" x14ac:dyDescent="0.35">
      <c r="A7" s="1" t="s">
        <v>22</v>
      </c>
      <c r="B7" s="12" t="s">
        <v>23</v>
      </c>
      <c r="C7" s="14">
        <v>2003</v>
      </c>
      <c r="D7" s="14">
        <v>201</v>
      </c>
      <c r="E7" s="4" t="s">
        <v>24</v>
      </c>
      <c r="F7" s="14">
        <v>9</v>
      </c>
      <c r="G7" s="14">
        <v>94</v>
      </c>
      <c r="H7" s="6">
        <v>377.85</v>
      </c>
    </row>
    <row r="8" spans="1:8" x14ac:dyDescent="0.35">
      <c r="A8" s="1" t="s">
        <v>25</v>
      </c>
      <c r="B8" s="12" t="s">
        <v>12</v>
      </c>
      <c r="C8" s="14">
        <v>1974</v>
      </c>
      <c r="D8" s="14">
        <v>202</v>
      </c>
      <c r="E8" s="4" t="s">
        <v>13</v>
      </c>
      <c r="F8" s="14">
        <v>9</v>
      </c>
      <c r="G8" s="14">
        <v>90</v>
      </c>
      <c r="H8" s="6">
        <v>57.3</v>
      </c>
    </row>
    <row r="9" spans="1:8" x14ac:dyDescent="0.35">
      <c r="A9" s="1" t="s">
        <v>26</v>
      </c>
      <c r="B9" s="12" t="s">
        <v>27</v>
      </c>
      <c r="C9" s="14">
        <v>1994</v>
      </c>
      <c r="D9" s="14">
        <v>154</v>
      </c>
      <c r="E9" s="4" t="s">
        <v>13</v>
      </c>
      <c r="F9" s="14">
        <v>8.9</v>
      </c>
      <c r="G9" s="14">
        <v>95</v>
      </c>
      <c r="H9" s="6">
        <v>107.93</v>
      </c>
    </row>
    <row r="10" spans="1:8" x14ac:dyDescent="0.35">
      <c r="A10" s="1" t="s">
        <v>28</v>
      </c>
      <c r="B10" s="12" t="s">
        <v>15</v>
      </c>
      <c r="C10" s="14">
        <v>2010</v>
      </c>
      <c r="D10" s="14">
        <v>148</v>
      </c>
      <c r="E10" s="4" t="s">
        <v>29</v>
      </c>
      <c r="F10" s="14">
        <v>8.8000000000000007</v>
      </c>
      <c r="G10" s="14">
        <v>74</v>
      </c>
      <c r="H10" s="6">
        <v>292.58</v>
      </c>
    </row>
    <row r="11" spans="1:8" x14ac:dyDescent="0.35">
      <c r="A11" s="1" t="s">
        <v>30</v>
      </c>
      <c r="B11" s="12" t="s">
        <v>23</v>
      </c>
      <c r="C11" s="14">
        <v>2001</v>
      </c>
      <c r="D11" s="14">
        <v>178</v>
      </c>
      <c r="E11" s="4" t="s">
        <v>24</v>
      </c>
      <c r="F11" s="14">
        <v>8.8000000000000007</v>
      </c>
      <c r="G11" s="14">
        <v>92</v>
      </c>
      <c r="H11" s="6">
        <v>315.54000000000002</v>
      </c>
    </row>
    <row r="12" spans="1:8" x14ac:dyDescent="0.35">
      <c r="A12" s="1" t="s">
        <v>31</v>
      </c>
      <c r="B12" s="12" t="s">
        <v>32</v>
      </c>
      <c r="C12" s="14">
        <v>1999</v>
      </c>
      <c r="D12" s="14">
        <v>139</v>
      </c>
      <c r="E12" s="4" t="s">
        <v>10</v>
      </c>
      <c r="F12" s="14">
        <v>8.8000000000000007</v>
      </c>
      <c r="G12" s="14">
        <v>67</v>
      </c>
      <c r="H12" s="6">
        <v>37.03</v>
      </c>
    </row>
    <row r="13" spans="1:8" x14ac:dyDescent="0.35">
      <c r="A13" s="1" t="s">
        <v>33</v>
      </c>
      <c r="B13" s="12" t="s">
        <v>34</v>
      </c>
      <c r="C13" s="14">
        <v>1994</v>
      </c>
      <c r="D13" s="14">
        <v>142</v>
      </c>
      <c r="E13" s="4" t="s">
        <v>35</v>
      </c>
      <c r="F13" s="14">
        <v>8.8000000000000007</v>
      </c>
      <c r="G13" s="14">
        <v>82</v>
      </c>
      <c r="H13" s="6">
        <v>330.25</v>
      </c>
    </row>
    <row r="14" spans="1:8" x14ac:dyDescent="0.35">
      <c r="A14" s="1" t="s">
        <v>36</v>
      </c>
      <c r="B14" s="12" t="s">
        <v>37</v>
      </c>
      <c r="C14" s="14">
        <v>1966</v>
      </c>
      <c r="D14" s="14">
        <v>178</v>
      </c>
      <c r="E14" s="4" t="s">
        <v>38</v>
      </c>
      <c r="F14" s="14">
        <v>8.8000000000000007</v>
      </c>
      <c r="G14" s="14">
        <v>90</v>
      </c>
      <c r="H14" s="6">
        <v>6.1</v>
      </c>
    </row>
    <row r="15" spans="1:8" x14ac:dyDescent="0.35">
      <c r="A15" s="1" t="s">
        <v>39</v>
      </c>
      <c r="B15" s="12" t="s">
        <v>23</v>
      </c>
      <c r="C15" s="14">
        <v>2002</v>
      </c>
      <c r="D15" s="14">
        <v>179</v>
      </c>
      <c r="E15" s="4" t="s">
        <v>24</v>
      </c>
      <c r="F15" s="14">
        <v>8.8000000000000007</v>
      </c>
      <c r="G15" s="14">
        <v>87</v>
      </c>
      <c r="H15" s="6">
        <v>342.55</v>
      </c>
    </row>
    <row r="16" spans="1:8" x14ac:dyDescent="0.35">
      <c r="A16" s="1" t="s">
        <v>40</v>
      </c>
      <c r="B16" s="12" t="s">
        <v>15</v>
      </c>
      <c r="C16" s="14">
        <v>2014</v>
      </c>
      <c r="D16" s="14">
        <v>169</v>
      </c>
      <c r="E16" s="4" t="s">
        <v>41</v>
      </c>
      <c r="F16" s="14">
        <v>8.6999999999999993</v>
      </c>
      <c r="G16" s="14">
        <v>74</v>
      </c>
      <c r="H16" s="6">
        <v>188.02</v>
      </c>
    </row>
    <row r="17" spans="1:8" x14ac:dyDescent="0.35">
      <c r="A17" s="1" t="s">
        <v>42</v>
      </c>
      <c r="B17" s="12" t="s">
        <v>43</v>
      </c>
      <c r="C17" s="14">
        <v>1990</v>
      </c>
      <c r="D17" s="14">
        <v>145</v>
      </c>
      <c r="E17" s="4" t="s">
        <v>44</v>
      </c>
      <c r="F17" s="14">
        <v>8.6999999999999993</v>
      </c>
      <c r="G17" s="14">
        <v>92</v>
      </c>
      <c r="H17" s="6">
        <v>46.84</v>
      </c>
    </row>
    <row r="18" spans="1:8" x14ac:dyDescent="0.35">
      <c r="A18" s="1" t="s">
        <v>45</v>
      </c>
      <c r="B18" s="12" t="s">
        <v>46</v>
      </c>
      <c r="C18" s="14">
        <v>1999</v>
      </c>
      <c r="D18" s="14">
        <v>136</v>
      </c>
      <c r="E18" s="4" t="s">
        <v>47</v>
      </c>
      <c r="F18" s="14">
        <v>8.6999999999999993</v>
      </c>
      <c r="G18" s="14">
        <v>73</v>
      </c>
      <c r="H18" s="6">
        <v>171.48</v>
      </c>
    </row>
    <row r="19" spans="1:8" x14ac:dyDescent="0.35">
      <c r="A19" s="1" t="s">
        <v>48</v>
      </c>
      <c r="B19" s="12" t="s">
        <v>49</v>
      </c>
      <c r="C19" s="14">
        <v>1975</v>
      </c>
      <c r="D19" s="14">
        <v>133</v>
      </c>
      <c r="E19" s="4" t="s">
        <v>10</v>
      </c>
      <c r="F19" s="14">
        <v>8.6999999999999993</v>
      </c>
      <c r="G19" s="14">
        <v>84</v>
      </c>
      <c r="H19" s="6">
        <v>112</v>
      </c>
    </row>
    <row r="20" spans="1:8" x14ac:dyDescent="0.35">
      <c r="A20" s="1" t="s">
        <v>50</v>
      </c>
      <c r="B20" s="12" t="s">
        <v>51</v>
      </c>
      <c r="C20" s="14">
        <v>1980</v>
      </c>
      <c r="D20" s="14">
        <v>124</v>
      </c>
      <c r="E20" s="4" t="s">
        <v>52</v>
      </c>
      <c r="F20" s="14">
        <v>8.6999999999999993</v>
      </c>
      <c r="G20" s="14">
        <v>82</v>
      </c>
      <c r="H20" s="6">
        <v>290.48</v>
      </c>
    </row>
    <row r="21" spans="1:8" x14ac:dyDescent="0.35">
      <c r="A21" s="1" t="s">
        <v>53</v>
      </c>
      <c r="B21" s="12" t="s">
        <v>9</v>
      </c>
      <c r="C21" s="14">
        <v>1999</v>
      </c>
      <c r="D21" s="14">
        <v>189</v>
      </c>
      <c r="E21" s="4" t="s">
        <v>54</v>
      </c>
      <c r="F21" s="14">
        <v>8.6</v>
      </c>
      <c r="G21" s="14">
        <v>61</v>
      </c>
      <c r="H21" s="6">
        <v>136.80000000000001</v>
      </c>
    </row>
    <row r="22" spans="1:8" x14ac:dyDescent="0.35">
      <c r="A22" s="1" t="s">
        <v>55</v>
      </c>
      <c r="B22" s="12" t="s">
        <v>56</v>
      </c>
      <c r="C22" s="14">
        <v>1991</v>
      </c>
      <c r="D22" s="14">
        <v>137</v>
      </c>
      <c r="E22" s="4" t="s">
        <v>47</v>
      </c>
      <c r="F22" s="14">
        <v>8.6</v>
      </c>
      <c r="G22" s="14">
        <v>75</v>
      </c>
      <c r="H22" s="6">
        <v>204.84</v>
      </c>
    </row>
    <row r="23" spans="1:8" x14ac:dyDescent="0.35">
      <c r="A23" s="1" t="s">
        <v>57</v>
      </c>
      <c r="B23" s="12" t="s">
        <v>32</v>
      </c>
      <c r="C23" s="14">
        <v>1995</v>
      </c>
      <c r="D23" s="14">
        <v>127</v>
      </c>
      <c r="E23" s="4" t="s">
        <v>58</v>
      </c>
      <c r="F23" s="14">
        <v>8.6</v>
      </c>
      <c r="G23" s="14">
        <v>65</v>
      </c>
      <c r="H23" s="6">
        <v>100.13</v>
      </c>
    </row>
    <row r="24" spans="1:8" x14ac:dyDescent="0.35">
      <c r="A24" s="1" t="s">
        <v>59</v>
      </c>
      <c r="B24" s="12" t="s">
        <v>18</v>
      </c>
      <c r="C24" s="14">
        <v>1998</v>
      </c>
      <c r="D24" s="14">
        <v>169</v>
      </c>
      <c r="E24" s="4" t="s">
        <v>60</v>
      </c>
      <c r="F24" s="14">
        <v>8.6</v>
      </c>
      <c r="G24" s="14">
        <v>91</v>
      </c>
      <c r="H24" s="6">
        <v>216.54</v>
      </c>
    </row>
    <row r="25" spans="1:8" x14ac:dyDescent="0.35">
      <c r="A25" s="1" t="s">
        <v>61</v>
      </c>
      <c r="B25" s="12" t="s">
        <v>62</v>
      </c>
      <c r="C25" s="14">
        <v>1991</v>
      </c>
      <c r="D25" s="14">
        <v>118</v>
      </c>
      <c r="E25" s="4" t="s">
        <v>63</v>
      </c>
      <c r="F25" s="14">
        <v>8.6</v>
      </c>
      <c r="G25" s="14">
        <v>86</v>
      </c>
      <c r="H25" s="6">
        <v>130.74</v>
      </c>
    </row>
    <row r="26" spans="1:8" x14ac:dyDescent="0.35">
      <c r="A26" s="1" t="s">
        <v>64</v>
      </c>
      <c r="B26" s="12" t="s">
        <v>65</v>
      </c>
      <c r="C26" s="14">
        <v>1977</v>
      </c>
      <c r="D26" s="14">
        <v>121</v>
      </c>
      <c r="E26" s="4" t="s">
        <v>52</v>
      </c>
      <c r="F26" s="14">
        <v>8.6</v>
      </c>
      <c r="G26" s="14">
        <v>90</v>
      </c>
      <c r="H26" s="6">
        <v>322.74</v>
      </c>
    </row>
    <row r="27" spans="1:8" x14ac:dyDescent="0.35">
      <c r="A27" s="1" t="s">
        <v>66</v>
      </c>
      <c r="B27" s="12" t="s">
        <v>67</v>
      </c>
      <c r="C27" s="14">
        <v>2001</v>
      </c>
      <c r="D27" s="14">
        <v>125</v>
      </c>
      <c r="E27" s="4" t="s">
        <v>68</v>
      </c>
      <c r="F27" s="14">
        <v>8.6</v>
      </c>
      <c r="G27" s="14">
        <v>96</v>
      </c>
      <c r="H27" s="6">
        <v>10.06</v>
      </c>
    </row>
    <row r="28" spans="1:8" x14ac:dyDescent="0.35">
      <c r="A28" s="1" t="s">
        <v>69</v>
      </c>
      <c r="B28" s="12" t="s">
        <v>70</v>
      </c>
      <c r="C28" s="14">
        <v>2002</v>
      </c>
      <c r="D28" s="14">
        <v>130</v>
      </c>
      <c r="E28" s="4" t="s">
        <v>13</v>
      </c>
      <c r="F28" s="14">
        <v>8.6</v>
      </c>
      <c r="G28" s="14">
        <v>79</v>
      </c>
      <c r="H28" s="6">
        <v>7.56</v>
      </c>
    </row>
    <row r="29" spans="1:8" x14ac:dyDescent="0.35">
      <c r="A29" s="1" t="s">
        <v>71</v>
      </c>
      <c r="B29" s="12" t="s">
        <v>72</v>
      </c>
      <c r="C29" s="14">
        <v>1997</v>
      </c>
      <c r="D29" s="14">
        <v>116</v>
      </c>
      <c r="E29" s="4" t="s">
        <v>73</v>
      </c>
      <c r="F29" s="14">
        <v>8.6</v>
      </c>
      <c r="G29" s="14">
        <v>59</v>
      </c>
      <c r="H29" s="6">
        <v>57.6</v>
      </c>
    </row>
    <row r="30" spans="1:8" x14ac:dyDescent="0.35">
      <c r="A30" s="1" t="s">
        <v>74</v>
      </c>
      <c r="B30" s="12" t="s">
        <v>75</v>
      </c>
      <c r="C30" s="14">
        <v>1954</v>
      </c>
      <c r="D30" s="14">
        <v>207</v>
      </c>
      <c r="E30" s="4" t="s">
        <v>76</v>
      </c>
      <c r="F30" s="14">
        <v>8.6</v>
      </c>
      <c r="G30" s="14">
        <v>98</v>
      </c>
      <c r="H30" s="6">
        <v>0.27</v>
      </c>
    </row>
    <row r="31" spans="1:8" x14ac:dyDescent="0.35">
      <c r="A31" s="1" t="s">
        <v>77</v>
      </c>
      <c r="B31" s="12" t="s">
        <v>78</v>
      </c>
      <c r="C31" s="14">
        <v>1946</v>
      </c>
      <c r="D31" s="14">
        <v>130</v>
      </c>
      <c r="E31" s="4" t="s">
        <v>79</v>
      </c>
      <c r="F31" s="14">
        <v>8.6</v>
      </c>
      <c r="G31" s="14">
        <v>89</v>
      </c>
      <c r="H31" s="6">
        <v>0</v>
      </c>
    </row>
    <row r="32" spans="1:8" x14ac:dyDescent="0.35">
      <c r="A32" s="1" t="s">
        <v>80</v>
      </c>
      <c r="B32" s="12" t="s">
        <v>81</v>
      </c>
      <c r="C32" s="14">
        <v>1962</v>
      </c>
      <c r="D32" s="14">
        <v>133</v>
      </c>
      <c r="E32" s="4" t="s">
        <v>82</v>
      </c>
      <c r="F32" s="14">
        <v>8.6</v>
      </c>
      <c r="G32" s="14">
        <v>85</v>
      </c>
      <c r="H32" s="6">
        <v>0</v>
      </c>
    </row>
    <row r="33" spans="1:8" x14ac:dyDescent="0.35">
      <c r="A33" s="1" t="s">
        <v>83</v>
      </c>
      <c r="B33" s="12" t="s">
        <v>84</v>
      </c>
      <c r="C33" s="14">
        <v>2022</v>
      </c>
      <c r="D33" s="14">
        <v>163</v>
      </c>
      <c r="E33" s="4" t="s">
        <v>82</v>
      </c>
      <c r="F33" s="14">
        <v>8.6</v>
      </c>
      <c r="G33" s="14">
        <v>0</v>
      </c>
      <c r="H33" s="6">
        <v>0</v>
      </c>
    </row>
    <row r="34" spans="1:8" x14ac:dyDescent="0.35">
      <c r="A34" s="1" t="s">
        <v>85</v>
      </c>
      <c r="B34" s="12" t="s">
        <v>34</v>
      </c>
      <c r="C34" s="14">
        <v>1985</v>
      </c>
      <c r="D34" s="14">
        <v>116</v>
      </c>
      <c r="E34" s="4" t="s">
        <v>86</v>
      </c>
      <c r="F34" s="14">
        <v>8.5</v>
      </c>
      <c r="G34" s="14">
        <v>87</v>
      </c>
      <c r="H34" s="6">
        <v>210.61</v>
      </c>
    </row>
    <row r="35" spans="1:8" x14ac:dyDescent="0.35">
      <c r="A35" s="1" t="s">
        <v>87</v>
      </c>
      <c r="B35" s="12" t="s">
        <v>43</v>
      </c>
      <c r="C35" s="14">
        <v>2006</v>
      </c>
      <c r="D35" s="14">
        <v>151</v>
      </c>
      <c r="E35" s="4" t="s">
        <v>63</v>
      </c>
      <c r="F35" s="14">
        <v>8.5</v>
      </c>
      <c r="G35" s="14">
        <v>85</v>
      </c>
      <c r="H35" s="6">
        <v>132.38</v>
      </c>
    </row>
    <row r="36" spans="1:8" x14ac:dyDescent="0.35">
      <c r="A36" s="1" t="s">
        <v>88</v>
      </c>
      <c r="B36" s="12" t="s">
        <v>89</v>
      </c>
      <c r="C36" s="14">
        <v>2000</v>
      </c>
      <c r="D36" s="14">
        <v>155</v>
      </c>
      <c r="E36" s="4" t="s">
        <v>24</v>
      </c>
      <c r="F36" s="14">
        <v>8.5</v>
      </c>
      <c r="G36" s="14">
        <v>67</v>
      </c>
      <c r="H36" s="6">
        <v>187.71</v>
      </c>
    </row>
    <row r="37" spans="1:8" x14ac:dyDescent="0.35">
      <c r="A37" s="1" t="s">
        <v>90</v>
      </c>
      <c r="B37" s="12" t="s">
        <v>89</v>
      </c>
      <c r="C37" s="14">
        <v>1979</v>
      </c>
      <c r="D37" s="14">
        <v>117</v>
      </c>
      <c r="E37" s="4" t="s">
        <v>91</v>
      </c>
      <c r="F37" s="14">
        <v>8.5</v>
      </c>
      <c r="G37" s="14">
        <v>89</v>
      </c>
      <c r="H37" s="6">
        <v>78.900000000000006</v>
      </c>
    </row>
    <row r="38" spans="1:8" x14ac:dyDescent="0.35">
      <c r="A38" s="1" t="s">
        <v>92</v>
      </c>
      <c r="B38" s="12" t="s">
        <v>93</v>
      </c>
      <c r="C38" s="14">
        <v>2019</v>
      </c>
      <c r="D38" s="14">
        <v>132</v>
      </c>
      <c r="E38" s="4" t="s">
        <v>94</v>
      </c>
      <c r="F38" s="14">
        <v>8.5</v>
      </c>
      <c r="G38" s="14">
        <v>96</v>
      </c>
      <c r="H38" s="6">
        <v>53.37</v>
      </c>
    </row>
    <row r="39" spans="1:8" x14ac:dyDescent="0.35">
      <c r="A39" s="1" t="s">
        <v>95</v>
      </c>
      <c r="B39" s="12" t="s">
        <v>15</v>
      </c>
      <c r="C39" s="14">
        <v>2006</v>
      </c>
      <c r="D39" s="14">
        <v>130</v>
      </c>
      <c r="E39" s="4" t="s">
        <v>96</v>
      </c>
      <c r="F39" s="14">
        <v>8.5</v>
      </c>
      <c r="G39" s="14">
        <v>66</v>
      </c>
      <c r="H39" s="6">
        <v>53.09</v>
      </c>
    </row>
    <row r="40" spans="1:8" x14ac:dyDescent="0.35">
      <c r="A40" s="1" t="s">
        <v>97</v>
      </c>
      <c r="B40" s="12" t="s">
        <v>98</v>
      </c>
      <c r="C40" s="14">
        <v>2014</v>
      </c>
      <c r="D40" s="14">
        <v>106</v>
      </c>
      <c r="E40" s="4" t="s">
        <v>99</v>
      </c>
      <c r="F40" s="14">
        <v>8.5</v>
      </c>
      <c r="G40" s="14">
        <v>89</v>
      </c>
      <c r="H40" s="6">
        <v>13.09</v>
      </c>
    </row>
    <row r="41" spans="1:8" x14ac:dyDescent="0.35">
      <c r="A41" s="1" t="s">
        <v>246</v>
      </c>
      <c r="B41" s="12" t="s">
        <v>100</v>
      </c>
      <c r="C41" s="14">
        <v>1994</v>
      </c>
      <c r="D41" s="14">
        <v>110</v>
      </c>
      <c r="E41" s="4" t="s">
        <v>16</v>
      </c>
      <c r="F41" s="14">
        <v>8.5</v>
      </c>
      <c r="G41" s="14">
        <v>64</v>
      </c>
      <c r="H41" s="6">
        <v>19.5</v>
      </c>
    </row>
    <row r="42" spans="1:8" x14ac:dyDescent="0.35">
      <c r="A42" s="1" t="s">
        <v>101</v>
      </c>
      <c r="B42" s="12" t="s">
        <v>102</v>
      </c>
      <c r="C42" s="14">
        <v>1994</v>
      </c>
      <c r="D42" s="14">
        <v>88</v>
      </c>
      <c r="E42" s="4" t="s">
        <v>103</v>
      </c>
      <c r="F42" s="14">
        <v>8.5</v>
      </c>
      <c r="G42" s="14">
        <v>88</v>
      </c>
      <c r="H42" s="6">
        <v>422.78</v>
      </c>
    </row>
    <row r="43" spans="1:8" x14ac:dyDescent="0.35">
      <c r="A43" s="1" t="s">
        <v>104</v>
      </c>
      <c r="B43" s="12" t="s">
        <v>105</v>
      </c>
      <c r="C43" s="14">
        <v>1995</v>
      </c>
      <c r="D43" s="14">
        <v>106</v>
      </c>
      <c r="E43" s="4" t="s">
        <v>58</v>
      </c>
      <c r="F43" s="14">
        <v>8.5</v>
      </c>
      <c r="G43" s="14">
        <v>77</v>
      </c>
      <c r="H43" s="6">
        <v>23.34</v>
      </c>
    </row>
    <row r="44" spans="1:8" x14ac:dyDescent="0.35">
      <c r="A44" s="1" t="s">
        <v>106</v>
      </c>
      <c r="B44" s="12" t="s">
        <v>107</v>
      </c>
      <c r="C44" s="14">
        <v>1942</v>
      </c>
      <c r="D44" s="14">
        <v>102</v>
      </c>
      <c r="E44" s="4" t="s">
        <v>108</v>
      </c>
      <c r="F44" s="14">
        <v>8.5</v>
      </c>
      <c r="G44" s="14">
        <v>100</v>
      </c>
      <c r="H44" s="6">
        <v>1.02</v>
      </c>
    </row>
    <row r="45" spans="1:8" x14ac:dyDescent="0.35">
      <c r="A45" s="1" t="s">
        <v>109</v>
      </c>
      <c r="B45" s="12" t="s">
        <v>110</v>
      </c>
      <c r="C45" s="14">
        <v>1998</v>
      </c>
      <c r="D45" s="14">
        <v>119</v>
      </c>
      <c r="E45" s="4" t="s">
        <v>13</v>
      </c>
      <c r="F45" s="14">
        <v>8.5</v>
      </c>
      <c r="G45" s="14">
        <v>62</v>
      </c>
      <c r="H45" s="6">
        <v>6.72</v>
      </c>
    </row>
    <row r="46" spans="1:8" x14ac:dyDescent="0.35">
      <c r="A46" s="1" t="s">
        <v>111</v>
      </c>
      <c r="B46" s="12" t="s">
        <v>112</v>
      </c>
      <c r="C46" s="14">
        <v>1960</v>
      </c>
      <c r="D46" s="14">
        <v>109</v>
      </c>
      <c r="E46" s="4" t="s">
        <v>113</v>
      </c>
      <c r="F46" s="14">
        <v>8.5</v>
      </c>
      <c r="G46" s="14">
        <v>97</v>
      </c>
      <c r="H46" s="6">
        <v>32</v>
      </c>
    </row>
    <row r="47" spans="1:8" x14ac:dyDescent="0.35">
      <c r="A47" s="1" t="s">
        <v>114</v>
      </c>
      <c r="B47" s="12" t="s">
        <v>115</v>
      </c>
      <c r="C47" s="14">
        <v>2002</v>
      </c>
      <c r="D47" s="14">
        <v>150</v>
      </c>
      <c r="E47" s="4" t="s">
        <v>116</v>
      </c>
      <c r="F47" s="14">
        <v>8.5</v>
      </c>
      <c r="G47" s="14">
        <v>85</v>
      </c>
      <c r="H47" s="6">
        <v>32.57</v>
      </c>
    </row>
    <row r="48" spans="1:8" x14ac:dyDescent="0.35">
      <c r="A48" s="1" t="s">
        <v>117</v>
      </c>
      <c r="B48" s="12" t="s">
        <v>118</v>
      </c>
      <c r="C48" s="14">
        <v>2011</v>
      </c>
      <c r="D48" s="14">
        <v>112</v>
      </c>
      <c r="E48" s="4" t="s">
        <v>119</v>
      </c>
      <c r="F48" s="14">
        <v>8.5</v>
      </c>
      <c r="G48" s="14">
        <v>57</v>
      </c>
      <c r="H48" s="6">
        <v>13.18</v>
      </c>
    </row>
    <row r="49" spans="1:8" x14ac:dyDescent="0.35">
      <c r="A49" s="1" t="s">
        <v>120</v>
      </c>
      <c r="B49" s="12" t="s">
        <v>37</v>
      </c>
      <c r="C49" s="14">
        <v>1968</v>
      </c>
      <c r="D49" s="14">
        <v>165</v>
      </c>
      <c r="E49" s="4" t="s">
        <v>121</v>
      </c>
      <c r="F49" s="14">
        <v>8.5</v>
      </c>
      <c r="G49" s="14">
        <v>82</v>
      </c>
      <c r="H49" s="6">
        <v>5.32</v>
      </c>
    </row>
    <row r="50" spans="1:8" x14ac:dyDescent="0.35">
      <c r="A50" s="1" t="s">
        <v>122</v>
      </c>
      <c r="B50" s="12" t="s">
        <v>123</v>
      </c>
      <c r="C50" s="14">
        <v>1988</v>
      </c>
      <c r="D50" s="14">
        <v>89</v>
      </c>
      <c r="E50" s="4" t="s">
        <v>124</v>
      </c>
      <c r="F50" s="14">
        <v>8.5</v>
      </c>
      <c r="G50" s="14">
        <v>94</v>
      </c>
      <c r="H50" s="6">
        <v>0</v>
      </c>
    </row>
    <row r="51" spans="1:8" x14ac:dyDescent="0.35">
      <c r="A51" s="1" t="s">
        <v>125</v>
      </c>
      <c r="B51" s="12" t="s">
        <v>112</v>
      </c>
      <c r="C51" s="14">
        <v>1954</v>
      </c>
      <c r="D51" s="14">
        <v>112</v>
      </c>
      <c r="E51" s="4" t="s">
        <v>126</v>
      </c>
      <c r="F51" s="14">
        <v>8.5</v>
      </c>
      <c r="G51" s="14">
        <v>100</v>
      </c>
      <c r="H51" s="6">
        <v>36.76</v>
      </c>
    </row>
    <row r="52" spans="1:8" x14ac:dyDescent="0.35">
      <c r="A52" s="1" t="s">
        <v>127</v>
      </c>
      <c r="B52" s="12" t="s">
        <v>128</v>
      </c>
      <c r="C52" s="14">
        <v>1988</v>
      </c>
      <c r="D52" s="14">
        <v>155</v>
      </c>
      <c r="E52" s="4" t="s">
        <v>35</v>
      </c>
      <c r="F52" s="14">
        <v>8.5</v>
      </c>
      <c r="G52" s="14">
        <v>80</v>
      </c>
      <c r="H52" s="6">
        <v>11.99</v>
      </c>
    </row>
    <row r="53" spans="1:8" x14ac:dyDescent="0.35">
      <c r="A53" s="1" t="s">
        <v>129</v>
      </c>
      <c r="B53" s="12" t="s">
        <v>130</v>
      </c>
      <c r="C53" s="14">
        <v>1936</v>
      </c>
      <c r="D53" s="14">
        <v>87</v>
      </c>
      <c r="E53" s="4" t="s">
        <v>73</v>
      </c>
      <c r="F53" s="14">
        <v>8.5</v>
      </c>
      <c r="G53" s="14">
        <v>96</v>
      </c>
      <c r="H53" s="6">
        <v>0.16</v>
      </c>
    </row>
    <row r="54" spans="1:8" x14ac:dyDescent="0.35">
      <c r="A54" s="1" t="s">
        <v>131</v>
      </c>
      <c r="B54" s="12" t="s">
        <v>130</v>
      </c>
      <c r="C54" s="14">
        <v>1931</v>
      </c>
      <c r="D54" s="14">
        <v>87</v>
      </c>
      <c r="E54" s="4" t="s">
        <v>73</v>
      </c>
      <c r="F54" s="14">
        <v>8.5</v>
      </c>
      <c r="G54" s="14">
        <v>99</v>
      </c>
      <c r="H54" s="6">
        <v>0.02</v>
      </c>
    </row>
    <row r="55" spans="1:8" x14ac:dyDescent="0.35">
      <c r="A55" s="1" t="s">
        <v>132</v>
      </c>
      <c r="B55" s="12" t="s">
        <v>133</v>
      </c>
      <c r="C55" s="14">
        <v>2018</v>
      </c>
      <c r="D55" s="14">
        <v>158</v>
      </c>
      <c r="E55" s="4" t="s">
        <v>35</v>
      </c>
      <c r="F55" s="14">
        <v>8.5</v>
      </c>
      <c r="G55" s="14">
        <v>0</v>
      </c>
      <c r="H55" s="6">
        <v>0</v>
      </c>
    </row>
    <row r="56" spans="1:8" x14ac:dyDescent="0.35">
      <c r="A56" s="1" t="s">
        <v>134</v>
      </c>
      <c r="B56" s="12" t="s">
        <v>18</v>
      </c>
      <c r="C56" s="14">
        <v>1981</v>
      </c>
      <c r="D56" s="14">
        <v>115</v>
      </c>
      <c r="E56" s="4" t="s">
        <v>135</v>
      </c>
      <c r="F56" s="14">
        <v>8.4</v>
      </c>
      <c r="G56" s="14">
        <v>85</v>
      </c>
      <c r="H56" s="6">
        <v>248.16</v>
      </c>
    </row>
    <row r="57" spans="1:8" x14ac:dyDescent="0.35">
      <c r="A57" s="1" t="s">
        <v>136</v>
      </c>
      <c r="B57" s="12" t="s">
        <v>137</v>
      </c>
      <c r="C57" s="14">
        <v>2018</v>
      </c>
      <c r="D57" s="14">
        <v>117</v>
      </c>
      <c r="E57" s="4" t="s">
        <v>138</v>
      </c>
      <c r="F57" s="14">
        <v>8.4</v>
      </c>
      <c r="G57" s="14">
        <v>87</v>
      </c>
      <c r="H57" s="6">
        <v>190.24</v>
      </c>
    </row>
    <row r="58" spans="1:8" x14ac:dyDescent="0.35">
      <c r="A58" s="1" t="s">
        <v>139</v>
      </c>
      <c r="B58" s="12" t="s">
        <v>140</v>
      </c>
      <c r="C58" s="14">
        <v>2019</v>
      </c>
      <c r="D58" s="14">
        <v>181</v>
      </c>
      <c r="E58" s="4" t="s">
        <v>24</v>
      </c>
      <c r="F58" s="14">
        <v>8.4</v>
      </c>
      <c r="G58" s="14">
        <v>78</v>
      </c>
      <c r="H58" s="6">
        <v>858.37</v>
      </c>
    </row>
    <row r="59" spans="1:8" x14ac:dyDescent="0.35">
      <c r="A59" s="1" t="s">
        <v>141</v>
      </c>
      <c r="B59" s="12" t="s">
        <v>27</v>
      </c>
      <c r="C59" s="14">
        <v>2012</v>
      </c>
      <c r="D59" s="14">
        <v>165</v>
      </c>
      <c r="E59" s="4" t="s">
        <v>142</v>
      </c>
      <c r="F59" s="14">
        <v>8.4</v>
      </c>
      <c r="G59" s="14">
        <v>81</v>
      </c>
      <c r="H59" s="6">
        <v>162.81</v>
      </c>
    </row>
    <row r="60" spans="1:8" x14ac:dyDescent="0.35">
      <c r="A60" s="1" t="s">
        <v>143</v>
      </c>
      <c r="B60" s="12" t="s">
        <v>12</v>
      </c>
      <c r="C60" s="14">
        <v>1979</v>
      </c>
      <c r="D60" s="14">
        <v>147</v>
      </c>
      <c r="E60" s="4" t="s">
        <v>144</v>
      </c>
      <c r="F60" s="14">
        <v>8.4</v>
      </c>
      <c r="G60" s="14">
        <v>94</v>
      </c>
      <c r="H60" s="6">
        <v>83.47</v>
      </c>
    </row>
    <row r="61" spans="1:8" x14ac:dyDescent="0.35">
      <c r="A61" s="1" t="s">
        <v>145</v>
      </c>
      <c r="B61" s="12" t="s">
        <v>56</v>
      </c>
      <c r="C61" s="14">
        <v>1986</v>
      </c>
      <c r="D61" s="14">
        <v>137</v>
      </c>
      <c r="E61" s="4" t="s">
        <v>29</v>
      </c>
      <c r="F61" s="14">
        <v>8.4</v>
      </c>
      <c r="G61" s="14">
        <v>84</v>
      </c>
      <c r="H61" s="6">
        <v>85.16</v>
      </c>
    </row>
    <row r="62" spans="1:8" x14ac:dyDescent="0.35">
      <c r="A62" s="1" t="s">
        <v>146</v>
      </c>
      <c r="B62" s="12" t="s">
        <v>147</v>
      </c>
      <c r="C62" s="14">
        <v>2019</v>
      </c>
      <c r="D62" s="14">
        <v>122</v>
      </c>
      <c r="E62" s="4" t="s">
        <v>63</v>
      </c>
      <c r="F62" s="14">
        <v>8.4</v>
      </c>
      <c r="G62" s="14">
        <v>59</v>
      </c>
      <c r="H62" s="6">
        <v>335.45</v>
      </c>
    </row>
    <row r="63" spans="1:8" x14ac:dyDescent="0.35">
      <c r="A63" s="1" t="s">
        <v>148</v>
      </c>
      <c r="B63" s="12" t="s">
        <v>15</v>
      </c>
      <c r="C63" s="14">
        <v>2012</v>
      </c>
      <c r="D63" s="14">
        <v>164</v>
      </c>
      <c r="E63" s="4" t="s">
        <v>149</v>
      </c>
      <c r="F63" s="14">
        <v>8.4</v>
      </c>
      <c r="G63" s="14">
        <v>78</v>
      </c>
      <c r="H63" s="6">
        <v>448.14</v>
      </c>
    </row>
    <row r="64" spans="1:8" x14ac:dyDescent="0.35">
      <c r="A64" s="1" t="s">
        <v>150</v>
      </c>
      <c r="B64" s="12" t="s">
        <v>140</v>
      </c>
      <c r="C64" s="14">
        <v>2018</v>
      </c>
      <c r="D64" s="14">
        <v>149</v>
      </c>
      <c r="E64" s="4" t="s">
        <v>29</v>
      </c>
      <c r="F64" s="14">
        <v>8.4</v>
      </c>
      <c r="G64" s="14">
        <v>68</v>
      </c>
      <c r="H64" s="6">
        <v>678.82</v>
      </c>
    </row>
    <row r="65" spans="1:8" x14ac:dyDescent="0.35">
      <c r="A65" s="1" t="s">
        <v>151</v>
      </c>
      <c r="B65" s="12" t="s">
        <v>152</v>
      </c>
      <c r="C65" s="14">
        <v>1980</v>
      </c>
      <c r="D65" s="14">
        <v>146</v>
      </c>
      <c r="E65" s="4" t="s">
        <v>153</v>
      </c>
      <c r="F65" s="14">
        <v>8.4</v>
      </c>
      <c r="G65" s="14">
        <v>66</v>
      </c>
      <c r="H65" s="6">
        <v>44.02</v>
      </c>
    </row>
    <row r="66" spans="1:8" x14ac:dyDescent="0.35">
      <c r="A66" s="1" t="s">
        <v>154</v>
      </c>
      <c r="B66" s="12" t="s">
        <v>155</v>
      </c>
      <c r="C66" s="14">
        <v>2003</v>
      </c>
      <c r="D66" s="14">
        <v>120</v>
      </c>
      <c r="E66" s="4" t="s">
        <v>82</v>
      </c>
      <c r="F66" s="14">
        <v>8.4</v>
      </c>
      <c r="G66" s="14">
        <v>77</v>
      </c>
      <c r="H66" s="6">
        <v>0.71</v>
      </c>
    </row>
    <row r="67" spans="1:8" x14ac:dyDescent="0.35">
      <c r="A67" s="1" t="s">
        <v>156</v>
      </c>
      <c r="B67" s="12" t="s">
        <v>15</v>
      </c>
      <c r="C67" s="14">
        <v>2000</v>
      </c>
      <c r="D67" s="14">
        <v>113</v>
      </c>
      <c r="E67" s="4" t="s">
        <v>126</v>
      </c>
      <c r="F67" s="14">
        <v>8.4</v>
      </c>
      <c r="G67" s="14">
        <v>83</v>
      </c>
      <c r="H67" s="6">
        <v>25.54</v>
      </c>
    </row>
    <row r="68" spans="1:8" x14ac:dyDescent="0.35">
      <c r="A68" s="1" t="s">
        <v>157</v>
      </c>
      <c r="B68" s="12" t="s">
        <v>49</v>
      </c>
      <c r="C68" s="14">
        <v>1984</v>
      </c>
      <c r="D68" s="14">
        <v>160</v>
      </c>
      <c r="E68" s="4" t="s">
        <v>116</v>
      </c>
      <c r="F68" s="14">
        <v>8.4</v>
      </c>
      <c r="G68" s="14">
        <v>88</v>
      </c>
      <c r="H68" s="6">
        <v>51.97</v>
      </c>
    </row>
    <row r="69" spans="1:8" x14ac:dyDescent="0.35">
      <c r="A69" s="1" t="s">
        <v>158</v>
      </c>
      <c r="B69" s="12" t="s">
        <v>159</v>
      </c>
      <c r="C69" s="14">
        <v>1985</v>
      </c>
      <c r="D69" s="14">
        <v>142</v>
      </c>
      <c r="E69" s="4" t="s">
        <v>160</v>
      </c>
      <c r="F69" s="14">
        <v>8.4</v>
      </c>
      <c r="G69" s="14">
        <v>0</v>
      </c>
      <c r="H69" s="6">
        <v>0</v>
      </c>
    </row>
    <row r="70" spans="1:8" x14ac:dyDescent="0.35">
      <c r="A70" s="1" t="s">
        <v>161</v>
      </c>
      <c r="B70" s="12" t="s">
        <v>162</v>
      </c>
      <c r="C70" s="14">
        <v>2017</v>
      </c>
      <c r="D70" s="14">
        <v>105</v>
      </c>
      <c r="E70" s="4" t="s">
        <v>103</v>
      </c>
      <c r="F70" s="14">
        <v>8.4</v>
      </c>
      <c r="G70" s="14">
        <v>81</v>
      </c>
      <c r="H70" s="6">
        <v>209.73</v>
      </c>
    </row>
    <row r="71" spans="1:8" x14ac:dyDescent="0.35">
      <c r="A71" s="1" t="s">
        <v>163</v>
      </c>
      <c r="B71" s="12" t="s">
        <v>164</v>
      </c>
      <c r="C71" s="14">
        <v>2016</v>
      </c>
      <c r="D71" s="14">
        <v>106</v>
      </c>
      <c r="E71" s="4" t="s">
        <v>165</v>
      </c>
      <c r="F71" s="14">
        <v>8.4</v>
      </c>
      <c r="G71" s="14">
        <v>81</v>
      </c>
      <c r="H71" s="6">
        <v>5.0199999999999996</v>
      </c>
    </row>
    <row r="72" spans="1:8" x14ac:dyDescent="0.35">
      <c r="A72" s="1" t="s">
        <v>245</v>
      </c>
      <c r="B72" s="12" t="s">
        <v>166</v>
      </c>
      <c r="C72" s="14">
        <v>2008</v>
      </c>
      <c r="D72" s="14">
        <v>98</v>
      </c>
      <c r="E72" s="4" t="s">
        <v>68</v>
      </c>
      <c r="F72" s="14">
        <v>8.4</v>
      </c>
      <c r="G72" s="14">
        <v>95</v>
      </c>
      <c r="H72" s="6">
        <v>223.81</v>
      </c>
    </row>
    <row r="73" spans="1:8" x14ac:dyDescent="0.35">
      <c r="A73" s="1" t="s">
        <v>167</v>
      </c>
      <c r="B73" s="12" t="s">
        <v>168</v>
      </c>
      <c r="C73" s="14">
        <v>2009</v>
      </c>
      <c r="D73" s="14">
        <v>170</v>
      </c>
      <c r="E73" s="4" t="s">
        <v>169</v>
      </c>
      <c r="F73" s="14">
        <v>8.4</v>
      </c>
      <c r="G73" s="14">
        <v>67</v>
      </c>
      <c r="H73" s="6">
        <v>6.53</v>
      </c>
    </row>
    <row r="74" spans="1:8" x14ac:dyDescent="0.35">
      <c r="A74" s="1" t="s">
        <v>170</v>
      </c>
      <c r="B74" s="12" t="s">
        <v>171</v>
      </c>
      <c r="C74" s="14">
        <v>2006</v>
      </c>
      <c r="D74" s="14">
        <v>137</v>
      </c>
      <c r="E74" s="4" t="s">
        <v>172</v>
      </c>
      <c r="F74" s="14">
        <v>8.4</v>
      </c>
      <c r="G74" s="14">
        <v>89</v>
      </c>
      <c r="H74" s="6">
        <v>11.29</v>
      </c>
    </row>
    <row r="75" spans="1:8" x14ac:dyDescent="0.35">
      <c r="A75" s="1" t="s">
        <v>173</v>
      </c>
      <c r="B75" s="12" t="s">
        <v>152</v>
      </c>
      <c r="C75" s="14">
        <v>1964</v>
      </c>
      <c r="D75" s="14">
        <v>95</v>
      </c>
      <c r="E75" s="4" t="s">
        <v>174</v>
      </c>
      <c r="F75" s="14">
        <v>8.4</v>
      </c>
      <c r="G75" s="14">
        <v>97</v>
      </c>
      <c r="H75" s="6">
        <v>0.28000000000000003</v>
      </c>
    </row>
    <row r="76" spans="1:8" x14ac:dyDescent="0.35">
      <c r="A76" s="1" t="s">
        <v>175</v>
      </c>
      <c r="B76" s="12" t="s">
        <v>176</v>
      </c>
      <c r="C76" s="14">
        <v>1981</v>
      </c>
      <c r="D76" s="14">
        <v>149</v>
      </c>
      <c r="E76" s="4" t="s">
        <v>60</v>
      </c>
      <c r="F76" s="14">
        <v>8.4</v>
      </c>
      <c r="G76" s="14">
        <v>86</v>
      </c>
      <c r="H76" s="6">
        <v>11.49</v>
      </c>
    </row>
    <row r="77" spans="1:8" x14ac:dyDescent="0.35">
      <c r="A77" s="1" t="s">
        <v>177</v>
      </c>
      <c r="B77" s="12" t="s">
        <v>178</v>
      </c>
      <c r="C77" s="14">
        <v>2018</v>
      </c>
      <c r="D77" s="14">
        <v>126</v>
      </c>
      <c r="E77" s="4" t="s">
        <v>10</v>
      </c>
      <c r="F77" s="14">
        <v>8.4</v>
      </c>
      <c r="G77" s="14">
        <v>75</v>
      </c>
      <c r="H77" s="6">
        <v>1.66</v>
      </c>
    </row>
    <row r="78" spans="1:8" x14ac:dyDescent="0.35">
      <c r="A78" s="1" t="s">
        <v>179</v>
      </c>
      <c r="B78" s="12" t="s">
        <v>180</v>
      </c>
      <c r="C78" s="14">
        <v>1950</v>
      </c>
      <c r="D78" s="14">
        <v>110</v>
      </c>
      <c r="E78" s="4" t="s">
        <v>181</v>
      </c>
      <c r="F78" s="14">
        <v>8.4</v>
      </c>
      <c r="G78" s="14">
        <v>94</v>
      </c>
      <c r="H78" s="6">
        <v>0</v>
      </c>
    </row>
    <row r="79" spans="1:8" x14ac:dyDescent="0.35">
      <c r="A79" s="1" t="s">
        <v>182</v>
      </c>
      <c r="B79" s="12" t="s">
        <v>152</v>
      </c>
      <c r="C79" s="14">
        <v>1957</v>
      </c>
      <c r="D79" s="14">
        <v>88</v>
      </c>
      <c r="E79" s="4" t="s">
        <v>60</v>
      </c>
      <c r="F79" s="14">
        <v>8.4</v>
      </c>
      <c r="G79" s="14">
        <v>90</v>
      </c>
      <c r="H79" s="6">
        <v>0</v>
      </c>
    </row>
    <row r="80" spans="1:8" x14ac:dyDescent="0.35">
      <c r="A80" s="1" t="s">
        <v>183</v>
      </c>
      <c r="B80" s="12" t="s">
        <v>180</v>
      </c>
      <c r="C80" s="14">
        <v>1957</v>
      </c>
      <c r="D80" s="14">
        <v>116</v>
      </c>
      <c r="E80" s="4" t="s">
        <v>58</v>
      </c>
      <c r="F80" s="14">
        <v>8.4</v>
      </c>
      <c r="G80" s="14">
        <v>76</v>
      </c>
      <c r="H80" s="6">
        <v>8.18</v>
      </c>
    </row>
    <row r="81" spans="1:8" x14ac:dyDescent="0.35">
      <c r="A81" s="1" t="s">
        <v>184</v>
      </c>
      <c r="B81" s="12" t="s">
        <v>130</v>
      </c>
      <c r="C81" s="14">
        <v>1940</v>
      </c>
      <c r="D81" s="14">
        <v>125</v>
      </c>
      <c r="E81" s="4" t="s">
        <v>185</v>
      </c>
      <c r="F81" s="14">
        <v>8.4</v>
      </c>
      <c r="G81" s="14">
        <v>0</v>
      </c>
      <c r="H81" s="6">
        <v>0.28999999999999998</v>
      </c>
    </row>
    <row r="82" spans="1:8" x14ac:dyDescent="0.35">
      <c r="A82" s="1" t="s">
        <v>186</v>
      </c>
      <c r="B82" s="12" t="s">
        <v>75</v>
      </c>
      <c r="C82" s="14">
        <v>1963</v>
      </c>
      <c r="D82" s="14">
        <v>143</v>
      </c>
      <c r="E82" s="4" t="s">
        <v>58</v>
      </c>
      <c r="F82" s="14">
        <v>8.4</v>
      </c>
      <c r="G82" s="14">
        <v>90</v>
      </c>
      <c r="H82" s="6">
        <v>0</v>
      </c>
    </row>
    <row r="83" spans="1:8" x14ac:dyDescent="0.35">
      <c r="A83" s="1" t="s">
        <v>187</v>
      </c>
      <c r="B83" s="12" t="s">
        <v>188</v>
      </c>
      <c r="C83" s="14">
        <v>2019</v>
      </c>
      <c r="D83" s="14">
        <v>145</v>
      </c>
      <c r="E83" s="4" t="s">
        <v>189</v>
      </c>
      <c r="F83" s="14">
        <v>8.4</v>
      </c>
      <c r="G83" s="14">
        <v>0</v>
      </c>
      <c r="H83" s="6">
        <v>0</v>
      </c>
    </row>
    <row r="84" spans="1:8" x14ac:dyDescent="0.35">
      <c r="A84" s="1" t="s">
        <v>190</v>
      </c>
      <c r="B84" s="12" t="s">
        <v>191</v>
      </c>
      <c r="C84" s="14">
        <v>2021</v>
      </c>
      <c r="D84" s="14">
        <v>164</v>
      </c>
      <c r="E84" s="4" t="s">
        <v>44</v>
      </c>
      <c r="F84" s="14">
        <v>8.4</v>
      </c>
      <c r="G84" s="14">
        <v>0</v>
      </c>
      <c r="H84" s="6">
        <v>0</v>
      </c>
    </row>
    <row r="85" spans="1:8" x14ac:dyDescent="0.35">
      <c r="A85" s="1" t="s">
        <v>192</v>
      </c>
      <c r="B85" s="12" t="s">
        <v>193</v>
      </c>
      <c r="C85" s="14">
        <v>2019</v>
      </c>
      <c r="D85" s="14">
        <v>141</v>
      </c>
      <c r="E85" s="4" t="s">
        <v>76</v>
      </c>
      <c r="F85" s="14">
        <v>8.4</v>
      </c>
      <c r="G85" s="14">
        <v>0</v>
      </c>
      <c r="H85" s="6">
        <v>0</v>
      </c>
    </row>
    <row r="86" spans="1:8" x14ac:dyDescent="0.35">
      <c r="A86" s="1" t="s">
        <v>194</v>
      </c>
      <c r="B86" s="12" t="s">
        <v>195</v>
      </c>
      <c r="C86" s="14">
        <v>2021</v>
      </c>
      <c r="D86" s="14">
        <v>152</v>
      </c>
      <c r="E86" s="4" t="s">
        <v>63</v>
      </c>
      <c r="F86" s="14">
        <v>8.4</v>
      </c>
      <c r="G86" s="14">
        <v>0</v>
      </c>
      <c r="H86" s="6">
        <v>0</v>
      </c>
    </row>
    <row r="87" spans="1:8" x14ac:dyDescent="0.35">
      <c r="A87" s="1" t="s">
        <v>196</v>
      </c>
      <c r="B87" s="12" t="s">
        <v>197</v>
      </c>
      <c r="C87" s="14">
        <v>2022</v>
      </c>
      <c r="D87" s="14">
        <v>130</v>
      </c>
      <c r="E87" s="4" t="s">
        <v>76</v>
      </c>
      <c r="F87" s="14">
        <v>8.3000000000000007</v>
      </c>
      <c r="G87" s="14">
        <v>78</v>
      </c>
      <c r="H87" s="6">
        <v>718.73</v>
      </c>
    </row>
    <row r="88" spans="1:8" x14ac:dyDescent="0.35">
      <c r="A88" s="1" t="s">
        <v>198</v>
      </c>
      <c r="B88" s="12" t="s">
        <v>199</v>
      </c>
      <c r="C88" s="14">
        <v>1995</v>
      </c>
      <c r="D88" s="14">
        <v>170</v>
      </c>
      <c r="E88" s="4" t="s">
        <v>16</v>
      </c>
      <c r="F88" s="14">
        <v>8.3000000000000007</v>
      </c>
      <c r="G88" s="14">
        <v>76</v>
      </c>
      <c r="H88" s="6">
        <v>67.44</v>
      </c>
    </row>
    <row r="89" spans="1:8" x14ac:dyDescent="0.35">
      <c r="A89" s="1" t="s">
        <v>200</v>
      </c>
      <c r="B89" s="12" t="s">
        <v>27</v>
      </c>
      <c r="C89" s="14">
        <v>2009</v>
      </c>
      <c r="D89" s="14">
        <v>153</v>
      </c>
      <c r="E89" s="4" t="s">
        <v>201</v>
      </c>
      <c r="F89" s="14">
        <v>8.3000000000000007</v>
      </c>
      <c r="G89" s="14">
        <v>69</v>
      </c>
      <c r="H89" s="6">
        <v>120.54</v>
      </c>
    </row>
    <row r="90" spans="1:8" x14ac:dyDescent="0.35">
      <c r="A90" s="1" t="s">
        <v>202</v>
      </c>
      <c r="B90" s="12" t="s">
        <v>152</v>
      </c>
      <c r="C90" s="14">
        <v>1987</v>
      </c>
      <c r="D90" s="14">
        <v>116</v>
      </c>
      <c r="E90" s="4" t="s">
        <v>60</v>
      </c>
      <c r="F90" s="14">
        <v>8.3000000000000007</v>
      </c>
      <c r="G90" s="14">
        <v>78</v>
      </c>
      <c r="H90" s="6">
        <v>46.36</v>
      </c>
    </row>
    <row r="91" spans="1:8" x14ac:dyDescent="0.35">
      <c r="A91" s="1" t="s">
        <v>203</v>
      </c>
      <c r="B91" s="12" t="s">
        <v>204</v>
      </c>
      <c r="C91" s="14">
        <v>1983</v>
      </c>
      <c r="D91" s="14">
        <v>170</v>
      </c>
      <c r="E91" s="4" t="s">
        <v>13</v>
      </c>
      <c r="F91" s="14">
        <v>8.3000000000000007</v>
      </c>
      <c r="G91" s="14">
        <v>65</v>
      </c>
      <c r="H91" s="6">
        <v>45.6</v>
      </c>
    </row>
    <row r="92" spans="1:8" x14ac:dyDescent="0.35">
      <c r="A92" s="1" t="s">
        <v>205</v>
      </c>
      <c r="B92" s="12" t="s">
        <v>206</v>
      </c>
      <c r="C92" s="14">
        <v>1999</v>
      </c>
      <c r="D92" s="14">
        <v>122</v>
      </c>
      <c r="E92" s="4" t="s">
        <v>10</v>
      </c>
      <c r="F92" s="14">
        <v>8.3000000000000007</v>
      </c>
      <c r="G92" s="14">
        <v>84</v>
      </c>
      <c r="H92" s="6">
        <v>130.1</v>
      </c>
    </row>
    <row r="93" spans="1:8" x14ac:dyDescent="0.35">
      <c r="A93" s="1" t="s">
        <v>207</v>
      </c>
      <c r="B93" s="12" t="s">
        <v>208</v>
      </c>
      <c r="C93" s="14">
        <v>2000</v>
      </c>
      <c r="D93" s="14">
        <v>102</v>
      </c>
      <c r="E93" s="4" t="s">
        <v>10</v>
      </c>
      <c r="F93" s="14">
        <v>8.3000000000000007</v>
      </c>
      <c r="G93" s="14">
        <v>71</v>
      </c>
      <c r="H93" s="6">
        <v>3.64</v>
      </c>
    </row>
    <row r="94" spans="1:8" x14ac:dyDescent="0.35">
      <c r="A94" s="1" t="s">
        <v>209</v>
      </c>
      <c r="B94" s="12" t="s">
        <v>210</v>
      </c>
      <c r="C94" s="14">
        <v>1997</v>
      </c>
      <c r="D94" s="14">
        <v>126</v>
      </c>
      <c r="E94" s="4" t="s">
        <v>35</v>
      </c>
      <c r="F94" s="14">
        <v>8.3000000000000007</v>
      </c>
      <c r="G94" s="14">
        <v>70</v>
      </c>
      <c r="H94" s="6">
        <v>138.43</v>
      </c>
    </row>
    <row r="95" spans="1:8" x14ac:dyDescent="0.35">
      <c r="A95" s="1" t="s">
        <v>211</v>
      </c>
      <c r="B95" s="12" t="s">
        <v>212</v>
      </c>
      <c r="C95" s="14">
        <v>2004</v>
      </c>
      <c r="D95" s="14">
        <v>108</v>
      </c>
      <c r="E95" s="4" t="s">
        <v>213</v>
      </c>
      <c r="F95" s="14">
        <v>8.3000000000000007</v>
      </c>
      <c r="G95" s="14">
        <v>89</v>
      </c>
      <c r="H95" s="6">
        <v>34.4</v>
      </c>
    </row>
    <row r="96" spans="1:8" x14ac:dyDescent="0.35">
      <c r="A96" s="1" t="s">
        <v>214</v>
      </c>
      <c r="B96" s="12" t="s">
        <v>152</v>
      </c>
      <c r="C96" s="14">
        <v>1971</v>
      </c>
      <c r="D96" s="14">
        <v>136</v>
      </c>
      <c r="E96" s="4" t="s">
        <v>215</v>
      </c>
      <c r="F96" s="14">
        <v>8.3000000000000007</v>
      </c>
      <c r="G96" s="14">
        <v>77</v>
      </c>
      <c r="H96" s="6">
        <v>6.21</v>
      </c>
    </row>
    <row r="97" spans="1:8" x14ac:dyDescent="0.35">
      <c r="A97" s="1" t="s">
        <v>216</v>
      </c>
      <c r="B97" s="12" t="s">
        <v>112</v>
      </c>
      <c r="C97" s="14">
        <v>1958</v>
      </c>
      <c r="D97" s="14">
        <v>128</v>
      </c>
      <c r="E97" s="4" t="s">
        <v>217</v>
      </c>
      <c r="F97" s="14">
        <v>8.3000000000000007</v>
      </c>
      <c r="G97" s="14">
        <v>100</v>
      </c>
      <c r="H97" s="6">
        <v>3.2</v>
      </c>
    </row>
    <row r="98" spans="1:8" x14ac:dyDescent="0.35">
      <c r="A98" s="1" t="s">
        <v>218</v>
      </c>
      <c r="B98" s="12" t="s">
        <v>219</v>
      </c>
      <c r="C98" s="14">
        <v>1995</v>
      </c>
      <c r="D98" s="14">
        <v>178</v>
      </c>
      <c r="E98" s="4" t="s">
        <v>19</v>
      </c>
      <c r="F98" s="14">
        <v>8.3000000000000007</v>
      </c>
      <c r="G98" s="14">
        <v>68</v>
      </c>
      <c r="H98" s="6">
        <v>75.599999999999994</v>
      </c>
    </row>
    <row r="99" spans="1:8" x14ac:dyDescent="0.35">
      <c r="A99" s="1" t="s">
        <v>220</v>
      </c>
      <c r="B99" s="12" t="s">
        <v>152</v>
      </c>
      <c r="C99" s="14">
        <v>1968</v>
      </c>
      <c r="D99" s="14">
        <v>149</v>
      </c>
      <c r="E99" s="4" t="s">
        <v>221</v>
      </c>
      <c r="F99" s="14">
        <v>8.3000000000000007</v>
      </c>
      <c r="G99" s="14">
        <v>84</v>
      </c>
      <c r="H99" s="6">
        <v>56.95</v>
      </c>
    </row>
    <row r="100" spans="1:8" x14ac:dyDescent="0.35">
      <c r="A100" s="1" t="s">
        <v>222</v>
      </c>
      <c r="B100" s="12" t="s">
        <v>27</v>
      </c>
      <c r="C100" s="14">
        <v>1992</v>
      </c>
      <c r="D100" s="14">
        <v>99</v>
      </c>
      <c r="E100" s="4" t="s">
        <v>223</v>
      </c>
      <c r="F100" s="14">
        <v>8.3000000000000007</v>
      </c>
      <c r="G100" s="14">
        <v>81</v>
      </c>
      <c r="H100" s="6">
        <v>2.83</v>
      </c>
    </row>
    <row r="101" spans="1:8" x14ac:dyDescent="0.35">
      <c r="A101" s="1" t="s">
        <v>224</v>
      </c>
      <c r="B101" s="12" t="s">
        <v>37</v>
      </c>
      <c r="C101" s="14">
        <v>1984</v>
      </c>
      <c r="D101" s="14">
        <v>229</v>
      </c>
      <c r="E101" s="4" t="s">
        <v>13</v>
      </c>
      <c r="F101" s="14">
        <v>8.3000000000000007</v>
      </c>
      <c r="G101" s="14">
        <v>75</v>
      </c>
      <c r="H101" s="6">
        <v>5.32</v>
      </c>
    </row>
    <row r="102" spans="1:8" x14ac:dyDescent="0.35">
      <c r="A102" s="1" t="s">
        <v>225</v>
      </c>
      <c r="B102" s="12" t="s">
        <v>226</v>
      </c>
      <c r="C102" s="14">
        <v>2012</v>
      </c>
      <c r="D102" s="14">
        <v>115</v>
      </c>
      <c r="E102" s="4" t="s">
        <v>10</v>
      </c>
      <c r="F102" s="14">
        <v>8.3000000000000007</v>
      </c>
      <c r="G102" s="14">
        <v>77</v>
      </c>
      <c r="H102" s="6">
        <v>0.69</v>
      </c>
    </row>
    <row r="103" spans="1:8" x14ac:dyDescent="0.35">
      <c r="A103" s="1" t="s">
        <v>227</v>
      </c>
      <c r="B103" s="12" t="s">
        <v>228</v>
      </c>
      <c r="C103" s="14">
        <v>1995</v>
      </c>
      <c r="D103" s="14">
        <v>81</v>
      </c>
      <c r="E103" s="4" t="s">
        <v>229</v>
      </c>
      <c r="F103" s="14">
        <v>8.3000000000000007</v>
      </c>
      <c r="G103" s="14">
        <v>96</v>
      </c>
      <c r="H103" s="6">
        <v>191.8</v>
      </c>
    </row>
    <row r="104" spans="1:8" x14ac:dyDescent="0.35">
      <c r="A104" s="1" t="s">
        <v>230</v>
      </c>
      <c r="B104" s="12" t="s">
        <v>231</v>
      </c>
      <c r="C104" s="14">
        <v>2020</v>
      </c>
      <c r="D104" s="14">
        <v>160</v>
      </c>
      <c r="E104" s="4" t="s">
        <v>19</v>
      </c>
      <c r="F104" s="14">
        <v>8.3000000000000007</v>
      </c>
      <c r="G104" s="14">
        <v>89</v>
      </c>
      <c r="H104" s="6">
        <v>0</v>
      </c>
    </row>
    <row r="105" spans="1:8" x14ac:dyDescent="0.35">
      <c r="A105" s="1" t="s">
        <v>232</v>
      </c>
      <c r="B105" s="12" t="s">
        <v>233</v>
      </c>
      <c r="C105" s="14">
        <v>2009</v>
      </c>
      <c r="D105" s="14">
        <v>96</v>
      </c>
      <c r="E105" s="4" t="s">
        <v>229</v>
      </c>
      <c r="F105" s="14">
        <v>8.3000000000000007</v>
      </c>
      <c r="G105" s="14">
        <v>88</v>
      </c>
      <c r="H105" s="6">
        <v>293</v>
      </c>
    </row>
    <row r="106" spans="1:8" x14ac:dyDescent="0.35">
      <c r="A106" s="1" t="s">
        <v>234</v>
      </c>
      <c r="B106" s="12" t="s">
        <v>235</v>
      </c>
      <c r="C106" s="14">
        <v>1983</v>
      </c>
      <c r="D106" s="14">
        <v>131</v>
      </c>
      <c r="E106" s="4" t="s">
        <v>52</v>
      </c>
      <c r="F106" s="14">
        <v>8.3000000000000007</v>
      </c>
      <c r="G106" s="14">
        <v>58</v>
      </c>
      <c r="H106" s="6">
        <v>309.13</v>
      </c>
    </row>
    <row r="107" spans="1:8" x14ac:dyDescent="0.35">
      <c r="A107" s="1" t="s">
        <v>251</v>
      </c>
      <c r="B107" s="12" t="s">
        <v>236</v>
      </c>
      <c r="C107" s="14">
        <v>2001</v>
      </c>
      <c r="D107" s="14">
        <v>122</v>
      </c>
      <c r="E107" s="4" t="s">
        <v>237</v>
      </c>
      <c r="F107" s="14">
        <v>8.3000000000000007</v>
      </c>
      <c r="G107" s="14">
        <v>69</v>
      </c>
      <c r="H107" s="6">
        <v>33.229999999999997</v>
      </c>
    </row>
    <row r="108" spans="1:8" x14ac:dyDescent="0.35">
      <c r="A108" s="1" t="s">
        <v>238</v>
      </c>
      <c r="B108" s="12" t="s">
        <v>239</v>
      </c>
      <c r="C108" s="14">
        <v>2010</v>
      </c>
      <c r="D108" s="14">
        <v>131</v>
      </c>
      <c r="E108" s="4" t="s">
        <v>240</v>
      </c>
      <c r="F108" s="14">
        <v>8.3000000000000007</v>
      </c>
      <c r="G108" s="14">
        <v>80</v>
      </c>
      <c r="H108" s="6">
        <v>6.86</v>
      </c>
    </row>
    <row r="109" spans="1:8" x14ac:dyDescent="0.35">
      <c r="A109" s="1" t="s">
        <v>241</v>
      </c>
      <c r="B109" s="12" t="s">
        <v>242</v>
      </c>
      <c r="C109" s="14">
        <v>1962</v>
      </c>
      <c r="D109" s="14">
        <v>218</v>
      </c>
      <c r="E109" s="4" t="s">
        <v>243</v>
      </c>
      <c r="F109" s="14">
        <v>8.3000000000000007</v>
      </c>
      <c r="G109" s="14">
        <v>100</v>
      </c>
      <c r="H109" s="6">
        <v>44.82</v>
      </c>
    </row>
    <row r="110" spans="1:8" x14ac:dyDescent="0.35">
      <c r="A110" s="1" t="s">
        <v>244</v>
      </c>
      <c r="B110" s="12" t="s">
        <v>162</v>
      </c>
      <c r="C110" s="14">
        <v>2010</v>
      </c>
      <c r="D110" s="14">
        <v>103</v>
      </c>
      <c r="E110" s="4" t="s">
        <v>229</v>
      </c>
      <c r="F110" s="14">
        <v>8.3000000000000007</v>
      </c>
      <c r="G110" s="14">
        <v>92</v>
      </c>
      <c r="H110" s="6">
        <v>415</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C008B-871C-4314-8760-9FB986CB5A9F}">
  <dimension ref="A1:H74"/>
  <sheetViews>
    <sheetView zoomScaleNormal="100" workbookViewId="0">
      <selection activeCell="C7" sqref="A2:H74"/>
    </sheetView>
  </sheetViews>
  <sheetFormatPr defaultRowHeight="14.5" x14ac:dyDescent="0.35"/>
  <cols>
    <col min="1" max="1" width="30.1796875" bestFit="1" customWidth="1"/>
    <col min="2" max="2" width="8.1796875" bestFit="1" customWidth="1"/>
    <col min="3" max="3" width="12.36328125" style="15" bestFit="1" customWidth="1"/>
    <col min="4" max="4" width="12.36328125" style="16" customWidth="1"/>
    <col min="5" max="5" width="16.08984375" style="15" bestFit="1" customWidth="1"/>
    <col min="6" max="6" width="16.08984375" style="15" customWidth="1"/>
    <col min="7" max="7" width="13.08984375" style="6" bestFit="1" customWidth="1"/>
    <col min="8" max="8" width="16.08984375" style="15" customWidth="1"/>
    <col min="10" max="10" width="19.36328125" bestFit="1" customWidth="1"/>
    <col min="11" max="11" width="15.7265625" customWidth="1"/>
    <col min="12" max="12" width="12.08984375" customWidth="1"/>
    <col min="13" max="13" width="15.7265625" customWidth="1"/>
    <col min="14" max="14" width="12.81640625" customWidth="1"/>
  </cols>
  <sheetData>
    <row r="1" spans="1:8" x14ac:dyDescent="0.35">
      <c r="A1" t="s">
        <v>1</v>
      </c>
      <c r="B1" t="s">
        <v>285</v>
      </c>
      <c r="C1" s="15" t="s">
        <v>248</v>
      </c>
      <c r="D1" s="16" t="s">
        <v>320</v>
      </c>
      <c r="E1" s="15" t="s">
        <v>249</v>
      </c>
      <c r="F1" s="15" t="s">
        <v>321</v>
      </c>
      <c r="G1" s="6" t="s">
        <v>250</v>
      </c>
      <c r="H1" s="15" t="s">
        <v>322</v>
      </c>
    </row>
    <row r="2" spans="1:8" x14ac:dyDescent="0.35">
      <c r="A2" s="1" t="s">
        <v>21</v>
      </c>
      <c r="B2">
        <v>1</v>
      </c>
      <c r="C2" s="15">
        <v>9</v>
      </c>
      <c r="D2" s="15"/>
      <c r="E2" s="15">
        <v>97</v>
      </c>
      <c r="G2" s="6">
        <v>4.3600000000000003</v>
      </c>
    </row>
    <row r="3" spans="1:8" x14ac:dyDescent="0.35">
      <c r="A3" s="1" t="s">
        <v>9</v>
      </c>
      <c r="B3">
        <v>2</v>
      </c>
      <c r="C3" s="15">
        <v>8.9499999999999993</v>
      </c>
      <c r="D3" s="15"/>
      <c r="E3" s="15">
        <v>71.5</v>
      </c>
      <c r="G3" s="6">
        <v>165.14000000000001</v>
      </c>
    </row>
    <row r="4" spans="1:8" x14ac:dyDescent="0.35">
      <c r="A4" s="1" t="s">
        <v>12</v>
      </c>
      <c r="B4">
        <v>3</v>
      </c>
      <c r="C4" s="15">
        <v>8.8666666666666671</v>
      </c>
      <c r="D4" s="16">
        <v>2</v>
      </c>
      <c r="E4" s="15">
        <v>94.666666666666671</v>
      </c>
      <c r="F4" s="16">
        <v>2</v>
      </c>
      <c r="G4" s="6">
        <v>275.74</v>
      </c>
      <c r="H4" s="16">
        <v>5</v>
      </c>
    </row>
    <row r="5" spans="1:8" x14ac:dyDescent="0.35">
      <c r="A5" s="1" t="s">
        <v>27</v>
      </c>
      <c r="B5">
        <v>4</v>
      </c>
      <c r="C5" s="15">
        <v>8.4750000000000014</v>
      </c>
      <c r="E5" s="15">
        <v>81.5</v>
      </c>
      <c r="G5" s="6">
        <v>394.11</v>
      </c>
      <c r="H5" s="16">
        <v>4</v>
      </c>
    </row>
    <row r="6" spans="1:8" x14ac:dyDescent="0.35">
      <c r="A6" s="1" t="s">
        <v>32</v>
      </c>
      <c r="B6">
        <v>2</v>
      </c>
      <c r="C6" s="15">
        <v>8.6999999999999993</v>
      </c>
      <c r="D6" s="15"/>
      <c r="E6" s="15">
        <v>66</v>
      </c>
      <c r="G6" s="6">
        <v>137.16</v>
      </c>
    </row>
    <row r="7" spans="1:8" x14ac:dyDescent="0.35">
      <c r="A7" s="1" t="s">
        <v>51</v>
      </c>
      <c r="B7">
        <v>1</v>
      </c>
      <c r="C7" s="15">
        <v>8.6999999999999993</v>
      </c>
      <c r="D7" s="15"/>
      <c r="E7" s="15">
        <v>82</v>
      </c>
      <c r="G7" s="6">
        <v>290.48</v>
      </c>
    </row>
    <row r="8" spans="1:8" x14ac:dyDescent="0.35">
      <c r="A8" s="1" t="s">
        <v>46</v>
      </c>
      <c r="B8">
        <v>1</v>
      </c>
      <c r="C8" s="15">
        <v>8.6999999999999993</v>
      </c>
      <c r="D8" s="15"/>
      <c r="E8" s="15">
        <v>73</v>
      </c>
      <c r="G8" s="6">
        <v>171.48</v>
      </c>
    </row>
    <row r="9" spans="1:8" x14ac:dyDescent="0.35">
      <c r="A9" s="1" t="s">
        <v>18</v>
      </c>
      <c r="B9">
        <v>3</v>
      </c>
      <c r="C9" s="15">
        <v>8.6666666666666661</v>
      </c>
      <c r="D9" s="16">
        <v>3</v>
      </c>
      <c r="E9" s="15">
        <v>90.333333333333329</v>
      </c>
      <c r="F9" s="16">
        <v>4</v>
      </c>
      <c r="G9" s="6">
        <v>561.6</v>
      </c>
      <c r="H9" s="16">
        <v>3</v>
      </c>
    </row>
    <row r="10" spans="1:8" x14ac:dyDescent="0.35">
      <c r="A10" s="1" t="s">
        <v>34</v>
      </c>
      <c r="B10">
        <v>2</v>
      </c>
      <c r="C10" s="15">
        <v>8.65</v>
      </c>
      <c r="D10" s="15"/>
      <c r="E10" s="15">
        <v>84.5</v>
      </c>
      <c r="G10" s="6">
        <v>540.86</v>
      </c>
    </row>
    <row r="11" spans="1:8" x14ac:dyDescent="0.35">
      <c r="A11" s="1" t="s">
        <v>23</v>
      </c>
      <c r="B11">
        <v>3</v>
      </c>
      <c r="C11" s="15">
        <v>8.8666666666666671</v>
      </c>
      <c r="D11" s="16">
        <v>1</v>
      </c>
      <c r="E11" s="15">
        <v>91</v>
      </c>
      <c r="F11" s="16">
        <v>3</v>
      </c>
      <c r="G11" s="6">
        <v>1035.94</v>
      </c>
      <c r="H11" s="16">
        <v>2</v>
      </c>
    </row>
    <row r="12" spans="1:8" x14ac:dyDescent="0.35">
      <c r="A12" s="1" t="s">
        <v>43</v>
      </c>
      <c r="B12">
        <v>2</v>
      </c>
      <c r="C12" s="15">
        <v>8.6</v>
      </c>
      <c r="D12" s="15"/>
      <c r="E12" s="15">
        <v>88.5</v>
      </c>
      <c r="G12" s="6">
        <v>179.22</v>
      </c>
    </row>
    <row r="13" spans="1:8" x14ac:dyDescent="0.35">
      <c r="A13" s="1" t="s">
        <v>81</v>
      </c>
      <c r="B13">
        <v>1</v>
      </c>
      <c r="C13" s="15">
        <v>8.6</v>
      </c>
      <c r="D13" s="15"/>
      <c r="E13" s="15">
        <v>85</v>
      </c>
      <c r="G13" s="6">
        <v>0</v>
      </c>
    </row>
    <row r="14" spans="1:8" x14ac:dyDescent="0.35">
      <c r="A14" s="1" t="s">
        <v>78</v>
      </c>
      <c r="B14">
        <v>1</v>
      </c>
      <c r="C14" s="15">
        <v>8.6</v>
      </c>
      <c r="D14" s="15"/>
      <c r="E14" s="15">
        <v>89</v>
      </c>
      <c r="G14" s="6">
        <v>0</v>
      </c>
    </row>
    <row r="15" spans="1:8" x14ac:dyDescent="0.35">
      <c r="A15" s="1" t="s">
        <v>72</v>
      </c>
      <c r="B15">
        <v>1</v>
      </c>
      <c r="C15" s="15">
        <v>8.6</v>
      </c>
      <c r="D15" s="15"/>
      <c r="E15" s="15">
        <v>59</v>
      </c>
      <c r="G15" s="6">
        <v>57.6</v>
      </c>
    </row>
    <row r="16" spans="1:8" x14ac:dyDescent="0.35">
      <c r="A16" s="1" t="s">
        <v>84</v>
      </c>
      <c r="B16">
        <v>1</v>
      </c>
      <c r="C16" s="15">
        <v>8.6</v>
      </c>
      <c r="D16" s="15"/>
      <c r="E16" s="15">
        <v>0</v>
      </c>
      <c r="G16" s="6">
        <v>0</v>
      </c>
    </row>
    <row r="17" spans="1:8" x14ac:dyDescent="0.35">
      <c r="A17" s="1" t="s">
        <v>70</v>
      </c>
      <c r="B17">
        <v>1</v>
      </c>
      <c r="C17" s="15">
        <v>8.6</v>
      </c>
      <c r="D17" s="15"/>
      <c r="E17" s="15">
        <v>79</v>
      </c>
      <c r="G17" s="6">
        <v>7.56</v>
      </c>
    </row>
    <row r="18" spans="1:8" x14ac:dyDescent="0.35">
      <c r="A18" s="1" t="s">
        <v>67</v>
      </c>
      <c r="B18">
        <v>1</v>
      </c>
      <c r="C18" s="15">
        <v>8.6</v>
      </c>
      <c r="D18" s="15"/>
      <c r="E18" s="15">
        <v>96</v>
      </c>
      <c r="G18" s="6">
        <v>10.06</v>
      </c>
    </row>
    <row r="19" spans="1:8" x14ac:dyDescent="0.35">
      <c r="A19" s="1" t="s">
        <v>65</v>
      </c>
      <c r="B19">
        <v>1</v>
      </c>
      <c r="C19" s="15">
        <v>8.6</v>
      </c>
      <c r="D19" s="15"/>
      <c r="E19" s="15">
        <v>90</v>
      </c>
      <c r="G19" s="6">
        <v>322.74</v>
      </c>
    </row>
    <row r="20" spans="1:8" x14ac:dyDescent="0.35">
      <c r="A20" s="1" t="s">
        <v>62</v>
      </c>
      <c r="B20">
        <v>1</v>
      </c>
      <c r="C20" s="15">
        <v>8.6</v>
      </c>
      <c r="D20" s="15"/>
      <c r="E20" s="15">
        <v>86</v>
      </c>
      <c r="G20" s="6">
        <v>130.74</v>
      </c>
    </row>
    <row r="21" spans="1:8" x14ac:dyDescent="0.35">
      <c r="A21" s="1" t="s">
        <v>49</v>
      </c>
      <c r="B21">
        <v>2</v>
      </c>
      <c r="C21" s="15">
        <v>8.5500000000000007</v>
      </c>
      <c r="D21" s="15"/>
      <c r="E21" s="15">
        <v>86</v>
      </c>
      <c r="G21" s="6">
        <v>163.97</v>
      </c>
    </row>
    <row r="22" spans="1:8" x14ac:dyDescent="0.35">
      <c r="A22" s="1" t="s">
        <v>15</v>
      </c>
      <c r="B22">
        <v>6</v>
      </c>
      <c r="C22" s="15">
        <v>8.6333333333333329</v>
      </c>
      <c r="D22" s="16">
        <v>4</v>
      </c>
      <c r="E22" s="15">
        <v>76.5</v>
      </c>
      <c r="G22" s="6">
        <v>1542.23</v>
      </c>
      <c r="H22" s="16">
        <v>1</v>
      </c>
    </row>
    <row r="23" spans="1:8" x14ac:dyDescent="0.35">
      <c r="A23" s="1" t="s">
        <v>75</v>
      </c>
      <c r="B23">
        <v>2</v>
      </c>
      <c r="C23" s="15">
        <v>8.5</v>
      </c>
      <c r="D23" s="15"/>
      <c r="E23" s="15">
        <v>94</v>
      </c>
      <c r="G23" s="6">
        <v>0.27</v>
      </c>
    </row>
    <row r="24" spans="1:8" x14ac:dyDescent="0.35">
      <c r="A24" s="1" t="s">
        <v>89</v>
      </c>
      <c r="B24">
        <v>2</v>
      </c>
      <c r="C24" s="15">
        <v>8.5</v>
      </c>
      <c r="D24" s="15"/>
      <c r="E24" s="15">
        <v>78</v>
      </c>
      <c r="G24" s="6">
        <v>266.61</v>
      </c>
    </row>
    <row r="25" spans="1:8" x14ac:dyDescent="0.35">
      <c r="A25" s="1" t="s">
        <v>56</v>
      </c>
      <c r="B25">
        <v>2</v>
      </c>
      <c r="C25" s="15">
        <v>8.5</v>
      </c>
      <c r="D25" s="15"/>
      <c r="E25" s="15">
        <v>79.5</v>
      </c>
      <c r="G25" s="6">
        <v>290</v>
      </c>
    </row>
    <row r="26" spans="1:8" x14ac:dyDescent="0.35">
      <c r="A26" s="1" t="s">
        <v>98</v>
      </c>
      <c r="B26">
        <v>1</v>
      </c>
      <c r="C26" s="15">
        <v>8.5</v>
      </c>
      <c r="D26" s="15"/>
      <c r="E26" s="15">
        <v>89</v>
      </c>
      <c r="G26" s="6">
        <v>13.09</v>
      </c>
    </row>
    <row r="27" spans="1:8" x14ac:dyDescent="0.35">
      <c r="A27" s="1" t="s">
        <v>93</v>
      </c>
      <c r="B27">
        <v>1</v>
      </c>
      <c r="C27" s="15">
        <v>8.5</v>
      </c>
      <c r="D27" s="15"/>
      <c r="E27" s="15">
        <v>96</v>
      </c>
      <c r="G27" s="6">
        <v>53.37</v>
      </c>
    </row>
    <row r="28" spans="1:8" x14ac:dyDescent="0.35">
      <c r="A28" s="1" t="s">
        <v>100</v>
      </c>
      <c r="B28">
        <v>1</v>
      </c>
      <c r="C28" s="15">
        <v>8.5</v>
      </c>
      <c r="D28" s="15"/>
      <c r="E28" s="15">
        <v>64</v>
      </c>
      <c r="G28" s="6">
        <v>19.5</v>
      </c>
    </row>
    <row r="29" spans="1:8" x14ac:dyDescent="0.35">
      <c r="A29" s="1" t="s">
        <v>133</v>
      </c>
      <c r="B29">
        <v>1</v>
      </c>
      <c r="C29" s="15">
        <v>8.5</v>
      </c>
      <c r="D29" s="15"/>
      <c r="E29" s="15">
        <v>0</v>
      </c>
      <c r="G29" s="6">
        <v>0</v>
      </c>
    </row>
    <row r="30" spans="1:8" x14ac:dyDescent="0.35">
      <c r="A30" s="1" t="s">
        <v>128</v>
      </c>
      <c r="B30">
        <v>1</v>
      </c>
      <c r="C30" s="15">
        <v>8.5</v>
      </c>
      <c r="D30" s="15"/>
      <c r="E30" s="15">
        <v>80</v>
      </c>
      <c r="G30" s="6">
        <v>11.99</v>
      </c>
    </row>
    <row r="31" spans="1:8" x14ac:dyDescent="0.35">
      <c r="A31" s="1" t="s">
        <v>123</v>
      </c>
      <c r="B31">
        <v>1</v>
      </c>
      <c r="C31" s="15">
        <v>8.5</v>
      </c>
      <c r="D31" s="15"/>
      <c r="E31" s="15">
        <v>94</v>
      </c>
      <c r="G31" s="6">
        <v>0</v>
      </c>
    </row>
    <row r="32" spans="1:8" x14ac:dyDescent="0.35">
      <c r="A32" s="1" t="s">
        <v>107</v>
      </c>
      <c r="B32">
        <v>1</v>
      </c>
      <c r="C32" s="15">
        <v>8.5</v>
      </c>
      <c r="D32" s="15"/>
      <c r="E32" s="15">
        <v>100</v>
      </c>
      <c r="G32" s="6">
        <v>1.02</v>
      </c>
    </row>
    <row r="33" spans="1:7" x14ac:dyDescent="0.35">
      <c r="A33" s="1" t="s">
        <v>105</v>
      </c>
      <c r="B33">
        <v>1</v>
      </c>
      <c r="C33" s="15">
        <v>8.5</v>
      </c>
      <c r="D33" s="15"/>
      <c r="E33" s="15">
        <v>77</v>
      </c>
      <c r="G33" s="6">
        <v>23.34</v>
      </c>
    </row>
    <row r="34" spans="1:7" x14ac:dyDescent="0.35">
      <c r="A34" s="1" t="s">
        <v>102</v>
      </c>
      <c r="B34">
        <v>1</v>
      </c>
      <c r="C34" s="15">
        <v>8.5</v>
      </c>
      <c r="D34" s="15"/>
      <c r="E34" s="15">
        <v>88</v>
      </c>
      <c r="G34" s="6">
        <v>422.78</v>
      </c>
    </row>
    <row r="35" spans="1:7" x14ac:dyDescent="0.35">
      <c r="A35" s="1" t="s">
        <v>118</v>
      </c>
      <c r="B35">
        <v>1</v>
      </c>
      <c r="C35" s="15">
        <v>8.5</v>
      </c>
      <c r="D35" s="15"/>
      <c r="E35" s="15">
        <v>57</v>
      </c>
      <c r="G35" s="6">
        <v>13.18</v>
      </c>
    </row>
    <row r="36" spans="1:7" x14ac:dyDescent="0.35">
      <c r="A36" s="1" t="s">
        <v>115</v>
      </c>
      <c r="B36">
        <v>1</v>
      </c>
      <c r="C36" s="15">
        <v>8.5</v>
      </c>
      <c r="D36" s="15"/>
      <c r="E36" s="15">
        <v>85</v>
      </c>
      <c r="G36" s="6">
        <v>32.57</v>
      </c>
    </row>
    <row r="37" spans="1:7" x14ac:dyDescent="0.35">
      <c r="A37" s="1" t="s">
        <v>110</v>
      </c>
      <c r="B37">
        <v>1</v>
      </c>
      <c r="C37" s="15">
        <v>8.5</v>
      </c>
      <c r="D37" s="15"/>
      <c r="E37" s="15">
        <v>62</v>
      </c>
      <c r="G37" s="6">
        <v>6.72</v>
      </c>
    </row>
    <row r="38" spans="1:7" x14ac:dyDescent="0.35">
      <c r="A38" s="1" t="s">
        <v>152</v>
      </c>
      <c r="B38">
        <v>6</v>
      </c>
      <c r="C38" s="15">
        <v>8.3500000000000014</v>
      </c>
      <c r="E38" s="15">
        <v>82</v>
      </c>
      <c r="G38" s="6">
        <v>153.82</v>
      </c>
    </row>
    <row r="39" spans="1:7" x14ac:dyDescent="0.35">
      <c r="A39" s="1" t="s">
        <v>112</v>
      </c>
      <c r="B39">
        <v>3</v>
      </c>
      <c r="C39" s="15">
        <v>8.4333333333333336</v>
      </c>
      <c r="E39" s="15">
        <v>99</v>
      </c>
      <c r="F39" s="16">
        <v>1</v>
      </c>
      <c r="G39" s="6">
        <v>71.959999999999994</v>
      </c>
    </row>
    <row r="40" spans="1:7" x14ac:dyDescent="0.35">
      <c r="A40" s="1" t="s">
        <v>37</v>
      </c>
      <c r="B40">
        <v>3</v>
      </c>
      <c r="C40" s="15">
        <v>8.5333333333333332</v>
      </c>
      <c r="D40" s="16">
        <v>5</v>
      </c>
      <c r="E40" s="15">
        <v>82.333333333333329</v>
      </c>
      <c r="F40" s="16">
        <v>5</v>
      </c>
      <c r="G40" s="6">
        <v>16.740000000000002</v>
      </c>
    </row>
    <row r="41" spans="1:7" x14ac:dyDescent="0.35">
      <c r="A41" s="1" t="s">
        <v>140</v>
      </c>
      <c r="B41">
        <v>2</v>
      </c>
      <c r="C41" s="15">
        <v>8.4</v>
      </c>
      <c r="D41" s="15"/>
      <c r="E41" s="15">
        <v>73</v>
      </c>
      <c r="G41" s="6">
        <v>1537.19</v>
      </c>
    </row>
    <row r="42" spans="1:7" x14ac:dyDescent="0.35">
      <c r="A42" s="1" t="s">
        <v>180</v>
      </c>
      <c r="B42">
        <v>2</v>
      </c>
      <c r="C42" s="15">
        <v>8.4</v>
      </c>
      <c r="D42" s="15"/>
      <c r="E42" s="15">
        <v>85</v>
      </c>
      <c r="G42" s="6">
        <v>8.18</v>
      </c>
    </row>
    <row r="43" spans="1:7" x14ac:dyDescent="0.35">
      <c r="A43" s="1" t="s">
        <v>191</v>
      </c>
      <c r="B43">
        <v>1</v>
      </c>
      <c r="C43" s="15">
        <v>8.4</v>
      </c>
      <c r="D43" s="15"/>
      <c r="E43" s="15">
        <v>0</v>
      </c>
      <c r="G43" s="6">
        <v>0</v>
      </c>
    </row>
    <row r="44" spans="1:7" x14ac:dyDescent="0.35">
      <c r="A44" s="1" t="s">
        <v>178</v>
      </c>
      <c r="B44">
        <v>1</v>
      </c>
      <c r="C44" s="15">
        <v>8.4</v>
      </c>
      <c r="D44" s="15"/>
      <c r="E44" s="15">
        <v>75</v>
      </c>
      <c r="G44" s="6">
        <v>1.66</v>
      </c>
    </row>
    <row r="45" spans="1:7" x14ac:dyDescent="0.35">
      <c r="A45" s="1" t="s">
        <v>193</v>
      </c>
      <c r="B45">
        <v>1</v>
      </c>
      <c r="C45" s="15">
        <v>8.4</v>
      </c>
      <c r="D45" s="15"/>
      <c r="E45" s="15">
        <v>0</v>
      </c>
      <c r="G45" s="6">
        <v>0</v>
      </c>
    </row>
    <row r="46" spans="1:7" x14ac:dyDescent="0.35">
      <c r="A46" s="1" t="s">
        <v>188</v>
      </c>
      <c r="B46">
        <v>1</v>
      </c>
      <c r="C46" s="15">
        <v>8.4</v>
      </c>
      <c r="D46" s="15"/>
      <c r="E46" s="15">
        <v>0</v>
      </c>
      <c r="G46" s="6">
        <v>0</v>
      </c>
    </row>
    <row r="47" spans="1:7" x14ac:dyDescent="0.35">
      <c r="A47" s="1" t="s">
        <v>168</v>
      </c>
      <c r="B47">
        <v>1</v>
      </c>
      <c r="C47" s="15">
        <v>8.4</v>
      </c>
      <c r="D47" s="15"/>
      <c r="E47" s="15">
        <v>67</v>
      </c>
      <c r="G47" s="6">
        <v>6.53</v>
      </c>
    </row>
    <row r="48" spans="1:7" x14ac:dyDescent="0.35">
      <c r="A48" s="1" t="s">
        <v>166</v>
      </c>
      <c r="B48">
        <v>1</v>
      </c>
      <c r="C48" s="15">
        <v>8.4</v>
      </c>
      <c r="D48" s="15"/>
      <c r="E48" s="15">
        <v>95</v>
      </c>
      <c r="G48" s="6">
        <v>223.81</v>
      </c>
    </row>
    <row r="49" spans="1:7" x14ac:dyDescent="0.35">
      <c r="A49" s="1" t="s">
        <v>164</v>
      </c>
      <c r="B49">
        <v>1</v>
      </c>
      <c r="C49" s="15">
        <v>8.4</v>
      </c>
      <c r="D49" s="15"/>
      <c r="E49" s="15">
        <v>81</v>
      </c>
      <c r="G49" s="6">
        <v>5.0199999999999996</v>
      </c>
    </row>
    <row r="50" spans="1:7" x14ac:dyDescent="0.35">
      <c r="A50" s="1" t="s">
        <v>176</v>
      </c>
      <c r="B50">
        <v>1</v>
      </c>
      <c r="C50" s="15">
        <v>8.4</v>
      </c>
      <c r="D50" s="15"/>
      <c r="E50" s="15">
        <v>86</v>
      </c>
      <c r="G50" s="6">
        <v>11.49</v>
      </c>
    </row>
    <row r="51" spans="1:7" x14ac:dyDescent="0.35">
      <c r="A51" s="1" t="s">
        <v>171</v>
      </c>
      <c r="B51">
        <v>1</v>
      </c>
      <c r="C51" s="15">
        <v>8.4</v>
      </c>
      <c r="D51" s="15"/>
      <c r="E51" s="15">
        <v>89</v>
      </c>
      <c r="G51" s="6">
        <v>11.29</v>
      </c>
    </row>
    <row r="52" spans="1:7" x14ac:dyDescent="0.35">
      <c r="A52" s="1" t="s">
        <v>195</v>
      </c>
      <c r="B52">
        <v>1</v>
      </c>
      <c r="C52" s="15">
        <v>8.4</v>
      </c>
      <c r="D52" s="15"/>
      <c r="E52" s="15">
        <v>0</v>
      </c>
      <c r="G52" s="6">
        <v>0</v>
      </c>
    </row>
    <row r="53" spans="1:7" x14ac:dyDescent="0.35">
      <c r="A53" s="1" t="s">
        <v>137</v>
      </c>
      <c r="B53">
        <v>1</v>
      </c>
      <c r="C53" s="15">
        <v>8.4</v>
      </c>
      <c r="D53" s="15"/>
      <c r="E53" s="15">
        <v>87</v>
      </c>
      <c r="G53" s="6">
        <v>190.24</v>
      </c>
    </row>
    <row r="54" spans="1:7" x14ac:dyDescent="0.35">
      <c r="A54" s="1" t="s">
        <v>159</v>
      </c>
      <c r="B54">
        <v>1</v>
      </c>
      <c r="C54" s="15">
        <v>8.4</v>
      </c>
      <c r="D54" s="15"/>
      <c r="E54" s="15">
        <v>0</v>
      </c>
      <c r="G54" s="6">
        <v>0</v>
      </c>
    </row>
    <row r="55" spans="1:7" x14ac:dyDescent="0.35">
      <c r="A55" s="1" t="s">
        <v>155</v>
      </c>
      <c r="B55">
        <v>1</v>
      </c>
      <c r="C55" s="15">
        <v>8.4</v>
      </c>
      <c r="D55" s="15"/>
      <c r="E55" s="15">
        <v>77</v>
      </c>
      <c r="G55" s="6">
        <v>0.71</v>
      </c>
    </row>
    <row r="56" spans="1:7" x14ac:dyDescent="0.35">
      <c r="A56" s="1" t="s">
        <v>147</v>
      </c>
      <c r="B56">
        <v>1</v>
      </c>
      <c r="C56" s="15">
        <v>8.4</v>
      </c>
      <c r="D56" s="15"/>
      <c r="E56" s="15">
        <v>59</v>
      </c>
      <c r="G56" s="6">
        <v>335.45</v>
      </c>
    </row>
    <row r="57" spans="1:7" x14ac:dyDescent="0.35">
      <c r="A57" s="1" t="s">
        <v>130</v>
      </c>
      <c r="B57">
        <v>3</v>
      </c>
      <c r="C57" s="15">
        <v>8.4666666666666668</v>
      </c>
      <c r="E57" s="15">
        <v>65</v>
      </c>
      <c r="G57" s="6">
        <v>0.47</v>
      </c>
    </row>
    <row r="58" spans="1:7" x14ac:dyDescent="0.35">
      <c r="A58" s="1" t="s">
        <v>162</v>
      </c>
      <c r="B58">
        <v>2</v>
      </c>
      <c r="C58" s="15">
        <v>8.3500000000000014</v>
      </c>
      <c r="D58" s="15"/>
      <c r="E58" s="15">
        <v>86.5</v>
      </c>
      <c r="G58" s="6">
        <v>624.73</v>
      </c>
    </row>
    <row r="59" spans="1:7" x14ac:dyDescent="0.35">
      <c r="A59" s="1" t="s">
        <v>242</v>
      </c>
      <c r="B59">
        <v>1</v>
      </c>
      <c r="C59" s="15">
        <v>8.3000000000000007</v>
      </c>
      <c r="D59" s="15"/>
      <c r="E59" s="15">
        <v>100</v>
      </c>
      <c r="G59" s="6">
        <v>44.82</v>
      </c>
    </row>
    <row r="60" spans="1:7" x14ac:dyDescent="0.35">
      <c r="A60" s="1" t="s">
        <v>212</v>
      </c>
      <c r="B60">
        <v>1</v>
      </c>
      <c r="C60" s="15">
        <v>8.3000000000000007</v>
      </c>
      <c r="D60" s="15"/>
      <c r="E60" s="15">
        <v>89</v>
      </c>
      <c r="G60" s="6">
        <v>34.4</v>
      </c>
    </row>
    <row r="61" spans="1:7" x14ac:dyDescent="0.35">
      <c r="A61" s="1" t="s">
        <v>226</v>
      </c>
      <c r="B61">
        <v>1</v>
      </c>
      <c r="C61" s="15">
        <v>8.3000000000000007</v>
      </c>
      <c r="D61" s="15"/>
      <c r="E61" s="15">
        <v>77</v>
      </c>
      <c r="G61" s="6">
        <v>0.69</v>
      </c>
    </row>
    <row r="62" spans="1:7" x14ac:dyDescent="0.35">
      <c r="A62" s="1" t="s">
        <v>236</v>
      </c>
      <c r="B62">
        <v>1</v>
      </c>
      <c r="C62" s="15">
        <v>8.3000000000000007</v>
      </c>
      <c r="D62" s="15"/>
      <c r="E62" s="15">
        <v>69</v>
      </c>
      <c r="G62" s="6">
        <v>33.229999999999997</v>
      </c>
    </row>
    <row r="63" spans="1:7" x14ac:dyDescent="0.35">
      <c r="A63" s="1" t="s">
        <v>219</v>
      </c>
      <c r="B63">
        <v>1</v>
      </c>
      <c r="C63" s="15">
        <v>8.3000000000000007</v>
      </c>
      <c r="D63" s="15"/>
      <c r="E63" s="15">
        <v>68</v>
      </c>
      <c r="G63" s="6">
        <v>75.599999999999994</v>
      </c>
    </row>
    <row r="64" spans="1:7" x14ac:dyDescent="0.35">
      <c r="A64" s="1" t="s">
        <v>228</v>
      </c>
      <c r="B64">
        <v>1</v>
      </c>
      <c r="C64" s="15">
        <v>8.3000000000000007</v>
      </c>
      <c r="D64" s="15"/>
      <c r="E64" s="15">
        <v>96</v>
      </c>
      <c r="G64" s="6">
        <v>191.8</v>
      </c>
    </row>
    <row r="65" spans="1:7" x14ac:dyDescent="0.35">
      <c r="A65" s="1" t="s">
        <v>235</v>
      </c>
      <c r="B65">
        <v>1</v>
      </c>
      <c r="C65" s="15">
        <v>8.3000000000000007</v>
      </c>
      <c r="D65" s="15"/>
      <c r="E65" s="15">
        <v>58</v>
      </c>
      <c r="G65" s="6">
        <v>309.13</v>
      </c>
    </row>
    <row r="66" spans="1:7" x14ac:dyDescent="0.35">
      <c r="A66" s="1" t="s">
        <v>233</v>
      </c>
      <c r="B66">
        <v>1</v>
      </c>
      <c r="C66" s="15">
        <v>8.3000000000000007</v>
      </c>
      <c r="D66" s="15"/>
      <c r="E66" s="15">
        <v>88</v>
      </c>
      <c r="G66" s="6">
        <v>293</v>
      </c>
    </row>
    <row r="67" spans="1:7" x14ac:dyDescent="0.35">
      <c r="A67" s="1" t="s">
        <v>231</v>
      </c>
      <c r="B67">
        <v>1</v>
      </c>
      <c r="C67" s="15">
        <v>8.3000000000000007</v>
      </c>
      <c r="D67" s="15"/>
      <c r="E67" s="15">
        <v>89</v>
      </c>
      <c r="G67" s="6">
        <v>0</v>
      </c>
    </row>
    <row r="68" spans="1:7" x14ac:dyDescent="0.35">
      <c r="A68" s="1" t="s">
        <v>210</v>
      </c>
      <c r="B68">
        <v>1</v>
      </c>
      <c r="C68" s="15">
        <v>8.3000000000000007</v>
      </c>
      <c r="D68" s="15"/>
      <c r="E68" s="15">
        <v>70</v>
      </c>
      <c r="G68" s="6">
        <v>138.43</v>
      </c>
    </row>
    <row r="69" spans="1:7" x14ac:dyDescent="0.35">
      <c r="A69" s="1" t="s">
        <v>199</v>
      </c>
      <c r="B69">
        <v>1</v>
      </c>
      <c r="C69" s="15">
        <v>8.3000000000000007</v>
      </c>
      <c r="D69" s="15"/>
      <c r="E69" s="15">
        <v>76</v>
      </c>
      <c r="G69" s="6">
        <v>67.44</v>
      </c>
    </row>
    <row r="70" spans="1:7" x14ac:dyDescent="0.35">
      <c r="A70" s="1" t="s">
        <v>197</v>
      </c>
      <c r="B70">
        <v>1</v>
      </c>
      <c r="C70" s="15">
        <v>8.3000000000000007</v>
      </c>
      <c r="D70" s="15"/>
      <c r="E70" s="15">
        <v>78</v>
      </c>
      <c r="G70" s="6">
        <v>718.73</v>
      </c>
    </row>
    <row r="71" spans="1:7" x14ac:dyDescent="0.35">
      <c r="A71" s="1" t="s">
        <v>204</v>
      </c>
      <c r="B71">
        <v>1</v>
      </c>
      <c r="C71" s="15">
        <v>8.3000000000000007</v>
      </c>
      <c r="D71" s="15"/>
      <c r="E71" s="15">
        <v>65</v>
      </c>
      <c r="G71" s="6">
        <v>45.6</v>
      </c>
    </row>
    <row r="72" spans="1:7" x14ac:dyDescent="0.35">
      <c r="A72" s="1" t="s">
        <v>239</v>
      </c>
      <c r="B72">
        <v>1</v>
      </c>
      <c r="C72" s="15">
        <v>8.3000000000000007</v>
      </c>
      <c r="D72" s="15"/>
      <c r="E72" s="15">
        <v>80</v>
      </c>
      <c r="G72" s="6">
        <v>6.86</v>
      </c>
    </row>
    <row r="73" spans="1:7" x14ac:dyDescent="0.35">
      <c r="A73" s="1" t="s">
        <v>208</v>
      </c>
      <c r="B73">
        <v>1</v>
      </c>
      <c r="C73" s="15">
        <v>8.3000000000000007</v>
      </c>
      <c r="D73" s="15"/>
      <c r="E73" s="15">
        <v>71</v>
      </c>
      <c r="G73" s="6">
        <v>3.64</v>
      </c>
    </row>
    <row r="74" spans="1:7" x14ac:dyDescent="0.35">
      <c r="A74" s="1" t="s">
        <v>206</v>
      </c>
      <c r="B74">
        <v>1</v>
      </c>
      <c r="C74" s="15">
        <v>8.3000000000000007</v>
      </c>
      <c r="D74" s="15"/>
      <c r="E74" s="15">
        <v>84</v>
      </c>
      <c r="G74" s="6">
        <v>130.1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546DC-0A16-42FD-A485-FEFB1E8C6447}">
  <dimension ref="A1:J20"/>
  <sheetViews>
    <sheetView zoomScaleNormal="100" workbookViewId="0">
      <selection activeCell="F4" sqref="A2:J20"/>
    </sheetView>
  </sheetViews>
  <sheetFormatPr defaultRowHeight="14.5" x14ac:dyDescent="0.35"/>
  <cols>
    <col min="1" max="1" width="9.54296875" style="12" bestFit="1" customWidth="1"/>
    <col min="2" max="2" width="14.36328125" style="16" bestFit="1" customWidth="1"/>
    <col min="3" max="3" width="12.36328125" style="15" bestFit="1" customWidth="1"/>
    <col min="4" max="4" width="13.54296875" bestFit="1" customWidth="1"/>
    <col min="5" max="5" width="16.08984375" style="15" bestFit="1" customWidth="1"/>
    <col min="6" max="6" width="17.26953125" bestFit="1" customWidth="1"/>
    <col min="7" max="7" width="11.81640625" style="6" bestFit="1" customWidth="1"/>
    <col min="8" max="8" width="13" bestFit="1" customWidth="1"/>
    <col min="9" max="9" width="14.1796875" bestFit="1" customWidth="1"/>
    <col min="10" max="10" width="14.54296875" bestFit="1" customWidth="1"/>
    <col min="12" max="12" width="9.54296875" bestFit="1" customWidth="1"/>
    <col min="13" max="13" width="19.6328125" bestFit="1" customWidth="1"/>
    <col min="14" max="14" width="23.36328125" bestFit="1" customWidth="1"/>
    <col min="15" max="15" width="19.08984375" bestFit="1" customWidth="1"/>
  </cols>
  <sheetData>
    <row r="1" spans="1:10" x14ac:dyDescent="0.35">
      <c r="A1" s="12" t="s">
        <v>4</v>
      </c>
      <c r="B1" s="16" t="s">
        <v>247</v>
      </c>
      <c r="C1" s="15" t="s">
        <v>248</v>
      </c>
      <c r="D1" t="s">
        <v>252</v>
      </c>
      <c r="E1" s="15" t="s">
        <v>249</v>
      </c>
      <c r="F1" t="s">
        <v>253</v>
      </c>
      <c r="G1" s="6" t="s">
        <v>254</v>
      </c>
      <c r="H1" t="s">
        <v>255</v>
      </c>
      <c r="I1" t="s">
        <v>256</v>
      </c>
      <c r="J1" t="s">
        <v>257</v>
      </c>
    </row>
    <row r="2" spans="1:10" x14ac:dyDescent="0.35">
      <c r="A2" s="12" t="s">
        <v>10</v>
      </c>
      <c r="B2" s="16">
        <v>80</v>
      </c>
      <c r="C2" s="15">
        <v>8.5237500000000015</v>
      </c>
      <c r="D2" t="s">
        <v>258</v>
      </c>
      <c r="E2" s="15">
        <v>74.400000000000006</v>
      </c>
      <c r="F2" t="s">
        <v>259</v>
      </c>
      <c r="G2" s="6">
        <v>100.16200000000001</v>
      </c>
      <c r="H2" t="s">
        <v>258</v>
      </c>
      <c r="I2" s="1" t="s">
        <v>260</v>
      </c>
      <c r="J2">
        <v>2</v>
      </c>
    </row>
    <row r="3" spans="1:10" x14ac:dyDescent="0.35">
      <c r="A3" s="12" t="s">
        <v>261</v>
      </c>
      <c r="B3" s="16">
        <v>25</v>
      </c>
      <c r="C3" s="15">
        <v>8.5640000000000001</v>
      </c>
      <c r="D3" t="s">
        <v>258</v>
      </c>
      <c r="E3" s="15">
        <v>69.44</v>
      </c>
      <c r="F3" t="s">
        <v>259</v>
      </c>
      <c r="G3" s="6">
        <v>76.578400000000002</v>
      </c>
      <c r="H3" t="s">
        <v>258</v>
      </c>
      <c r="I3" s="1" t="s">
        <v>260</v>
      </c>
      <c r="J3">
        <v>2</v>
      </c>
    </row>
    <row r="4" spans="1:10" x14ac:dyDescent="0.35">
      <c r="A4" s="12" t="s">
        <v>262</v>
      </c>
      <c r="B4" s="16">
        <v>26</v>
      </c>
      <c r="C4" s="15">
        <v>8.5500000000000007</v>
      </c>
      <c r="D4" t="s">
        <v>258</v>
      </c>
      <c r="E4" s="15">
        <v>70.538461538461533</v>
      </c>
      <c r="F4" t="s">
        <v>259</v>
      </c>
      <c r="G4" s="6">
        <v>256.35769230769233</v>
      </c>
      <c r="H4" t="s">
        <v>258</v>
      </c>
      <c r="I4" s="1" t="s">
        <v>260</v>
      </c>
      <c r="J4">
        <v>2</v>
      </c>
    </row>
    <row r="5" spans="1:10" x14ac:dyDescent="0.35">
      <c r="A5" s="12" t="s">
        <v>263</v>
      </c>
      <c r="B5" s="16">
        <v>9</v>
      </c>
      <c r="C5" s="15">
        <v>8.4888888888888889</v>
      </c>
      <c r="D5" t="s">
        <v>258</v>
      </c>
      <c r="E5" s="15">
        <v>74.888888888888886</v>
      </c>
      <c r="F5" t="s">
        <v>259</v>
      </c>
      <c r="G5" s="6">
        <v>40.208888888888886</v>
      </c>
      <c r="H5" t="s">
        <v>259</v>
      </c>
      <c r="I5" s="1" t="s">
        <v>264</v>
      </c>
      <c r="J5">
        <v>1</v>
      </c>
    </row>
    <row r="6" spans="1:10" x14ac:dyDescent="0.35">
      <c r="A6" s="12" t="s">
        <v>265</v>
      </c>
      <c r="B6" s="16">
        <v>3</v>
      </c>
      <c r="C6" s="15">
        <v>8.5333333333333332</v>
      </c>
      <c r="D6" t="s">
        <v>258</v>
      </c>
      <c r="E6" s="15">
        <v>84</v>
      </c>
      <c r="F6" t="s">
        <v>258</v>
      </c>
      <c r="G6" s="6">
        <v>57.5</v>
      </c>
      <c r="H6" t="s">
        <v>259</v>
      </c>
      <c r="I6" s="1" t="s">
        <v>266</v>
      </c>
      <c r="J6">
        <v>2</v>
      </c>
    </row>
    <row r="7" spans="1:10" x14ac:dyDescent="0.35">
      <c r="A7" s="12" t="s">
        <v>267</v>
      </c>
      <c r="B7" s="16">
        <v>27</v>
      </c>
      <c r="C7" s="15">
        <v>8.5037037037037049</v>
      </c>
      <c r="D7" t="s">
        <v>258</v>
      </c>
      <c r="E7" s="15">
        <v>80.962962962962962</v>
      </c>
      <c r="F7" t="s">
        <v>258</v>
      </c>
      <c r="G7" s="6">
        <v>255.27962962962965</v>
      </c>
      <c r="H7" t="s">
        <v>258</v>
      </c>
      <c r="I7" s="1" t="s">
        <v>268</v>
      </c>
      <c r="J7">
        <v>3</v>
      </c>
    </row>
    <row r="8" spans="1:10" x14ac:dyDescent="0.35">
      <c r="A8" s="12" t="s">
        <v>269</v>
      </c>
      <c r="B8" s="16">
        <v>12</v>
      </c>
      <c r="C8" s="15">
        <v>8.5</v>
      </c>
      <c r="D8" t="s">
        <v>258</v>
      </c>
      <c r="E8" s="15">
        <v>78.333333333333329</v>
      </c>
      <c r="F8" t="s">
        <v>258</v>
      </c>
      <c r="G8" s="6">
        <v>171.755</v>
      </c>
      <c r="H8" t="s">
        <v>258</v>
      </c>
      <c r="I8" s="1" t="s">
        <v>268</v>
      </c>
      <c r="J8">
        <v>3</v>
      </c>
    </row>
    <row r="9" spans="1:10" x14ac:dyDescent="0.35">
      <c r="A9" s="12" t="s">
        <v>270</v>
      </c>
      <c r="B9" s="16">
        <v>11</v>
      </c>
      <c r="C9" s="15">
        <v>8.4636363636363647</v>
      </c>
      <c r="D9" t="s">
        <v>259</v>
      </c>
      <c r="E9" s="15">
        <v>76.727272727272734</v>
      </c>
      <c r="F9" t="s">
        <v>259</v>
      </c>
      <c r="G9" s="6">
        <v>55.481818181818142</v>
      </c>
      <c r="H9" t="s">
        <v>259</v>
      </c>
      <c r="I9" s="1" t="s">
        <v>271</v>
      </c>
      <c r="J9">
        <v>0</v>
      </c>
    </row>
    <row r="10" spans="1:10" x14ac:dyDescent="0.35">
      <c r="A10" s="12" t="s">
        <v>121</v>
      </c>
      <c r="B10" s="16">
        <v>3</v>
      </c>
      <c r="C10" s="15">
        <v>8.5666666666666664</v>
      </c>
      <c r="D10" t="s">
        <v>258</v>
      </c>
      <c r="E10" s="15">
        <v>84.333333333333329</v>
      </c>
      <c r="F10" t="s">
        <v>258</v>
      </c>
      <c r="G10" s="6">
        <v>58.076666666666668</v>
      </c>
      <c r="H10" t="s">
        <v>259</v>
      </c>
      <c r="I10" s="1" t="s">
        <v>266</v>
      </c>
      <c r="J10">
        <v>2</v>
      </c>
    </row>
    <row r="11" spans="1:10" x14ac:dyDescent="0.35">
      <c r="A11" s="12" t="s">
        <v>272</v>
      </c>
      <c r="B11" s="16">
        <v>6</v>
      </c>
      <c r="C11" s="15">
        <v>8.5333333333333332</v>
      </c>
      <c r="D11" t="s">
        <v>258</v>
      </c>
      <c r="E11" s="15">
        <v>76.833333333333329</v>
      </c>
      <c r="F11" t="s">
        <v>259</v>
      </c>
      <c r="G11" s="6">
        <v>177.36166666666668</v>
      </c>
      <c r="H11" t="s">
        <v>258</v>
      </c>
      <c r="I11" s="1" t="s">
        <v>260</v>
      </c>
      <c r="J11">
        <v>2</v>
      </c>
    </row>
    <row r="12" spans="1:10" x14ac:dyDescent="0.35">
      <c r="A12" s="12" t="s">
        <v>273</v>
      </c>
      <c r="B12" s="16">
        <v>15</v>
      </c>
      <c r="C12" s="15">
        <v>8.4533333333333331</v>
      </c>
      <c r="D12" t="s">
        <v>259</v>
      </c>
      <c r="E12" s="15">
        <v>78.599999999999994</v>
      </c>
      <c r="F12" t="s">
        <v>258</v>
      </c>
      <c r="G12" s="6">
        <v>25.638000000000005</v>
      </c>
      <c r="H12" t="s">
        <v>259</v>
      </c>
      <c r="I12" s="1" t="s">
        <v>274</v>
      </c>
      <c r="J12">
        <v>1</v>
      </c>
    </row>
    <row r="13" spans="1:10" x14ac:dyDescent="0.35">
      <c r="A13" s="12" t="s">
        <v>275</v>
      </c>
      <c r="B13" s="16">
        <v>11</v>
      </c>
      <c r="C13" s="15">
        <v>8.418181818181818</v>
      </c>
      <c r="D13" t="s">
        <v>259</v>
      </c>
      <c r="E13" s="15">
        <v>72.63636363636364</v>
      </c>
      <c r="F13" t="s">
        <v>259</v>
      </c>
      <c r="G13" s="6">
        <v>43.635454545454564</v>
      </c>
      <c r="H13" t="s">
        <v>259</v>
      </c>
      <c r="I13" s="1" t="s">
        <v>271</v>
      </c>
      <c r="J13">
        <v>0</v>
      </c>
    </row>
    <row r="14" spans="1:10" x14ac:dyDescent="0.35">
      <c r="A14" s="12" t="s">
        <v>276</v>
      </c>
      <c r="B14" s="16">
        <v>13</v>
      </c>
      <c r="C14" s="15">
        <v>8.430769230769231</v>
      </c>
      <c r="D14" t="s">
        <v>259</v>
      </c>
      <c r="E14" s="15">
        <v>73.384615384615387</v>
      </c>
      <c r="F14" t="s">
        <v>259</v>
      </c>
      <c r="G14" s="6">
        <v>93.207692307692298</v>
      </c>
      <c r="H14" t="s">
        <v>258</v>
      </c>
      <c r="I14" s="1" t="s">
        <v>277</v>
      </c>
      <c r="J14">
        <v>1</v>
      </c>
    </row>
    <row r="15" spans="1:10" x14ac:dyDescent="0.35">
      <c r="A15" s="12" t="s">
        <v>278</v>
      </c>
      <c r="B15" s="16">
        <v>10</v>
      </c>
      <c r="C15" s="15">
        <v>8.41</v>
      </c>
      <c r="D15" t="s">
        <v>259</v>
      </c>
      <c r="E15" s="15">
        <v>89.8</v>
      </c>
      <c r="F15" t="s">
        <v>258</v>
      </c>
      <c r="G15" s="6">
        <v>196.14400000000001</v>
      </c>
      <c r="H15" t="s">
        <v>258</v>
      </c>
      <c r="I15" s="1" t="s">
        <v>279</v>
      </c>
      <c r="J15">
        <v>2</v>
      </c>
    </row>
    <row r="16" spans="1:10" x14ac:dyDescent="0.35">
      <c r="A16" s="12" t="s">
        <v>280</v>
      </c>
      <c r="B16" s="16">
        <v>3</v>
      </c>
      <c r="C16" s="15">
        <v>8.5333333333333332</v>
      </c>
      <c r="D16" t="s">
        <v>258</v>
      </c>
      <c r="E16" s="15">
        <v>93.333333333333329</v>
      </c>
      <c r="F16" t="s">
        <v>258</v>
      </c>
      <c r="G16" s="6">
        <v>77.956666666666663</v>
      </c>
      <c r="H16" t="s">
        <v>258</v>
      </c>
      <c r="I16" s="1" t="s">
        <v>268</v>
      </c>
      <c r="J16">
        <v>3</v>
      </c>
    </row>
    <row r="17" spans="1:10" x14ac:dyDescent="0.35">
      <c r="A17" s="12" t="s">
        <v>281</v>
      </c>
      <c r="B17" s="16">
        <v>12</v>
      </c>
      <c r="C17" s="15">
        <v>8.4166666666666679</v>
      </c>
      <c r="D17" t="s">
        <v>259</v>
      </c>
      <c r="E17" s="15">
        <v>75.583333333333329</v>
      </c>
      <c r="F17" t="s">
        <v>259</v>
      </c>
      <c r="G17" s="6">
        <v>101.80833333333334</v>
      </c>
      <c r="H17" t="s">
        <v>258</v>
      </c>
      <c r="I17" s="1" t="s">
        <v>277</v>
      </c>
      <c r="J17">
        <v>1</v>
      </c>
    </row>
    <row r="18" spans="1:10" x14ac:dyDescent="0.35">
      <c r="A18" s="12" t="s">
        <v>282</v>
      </c>
      <c r="B18" s="16">
        <v>3</v>
      </c>
      <c r="C18" s="15">
        <v>8.4666666666666668</v>
      </c>
      <c r="D18" t="s">
        <v>259</v>
      </c>
      <c r="E18" s="15">
        <v>84</v>
      </c>
      <c r="F18" t="s">
        <v>258</v>
      </c>
      <c r="G18" s="6">
        <v>51.64</v>
      </c>
      <c r="H18" t="s">
        <v>259</v>
      </c>
      <c r="I18" s="1" t="s">
        <v>274</v>
      </c>
      <c r="J18">
        <v>1</v>
      </c>
    </row>
    <row r="19" spans="1:10" x14ac:dyDescent="0.35">
      <c r="A19" s="12" t="s">
        <v>283</v>
      </c>
      <c r="B19" s="16">
        <v>3</v>
      </c>
      <c r="C19" s="15">
        <v>8.4666666666666668</v>
      </c>
      <c r="D19" t="s">
        <v>259</v>
      </c>
      <c r="E19" s="15">
        <v>87.333333333333329</v>
      </c>
      <c r="F19" t="s">
        <v>258</v>
      </c>
      <c r="G19" s="6">
        <v>32.543333333333337</v>
      </c>
      <c r="H19" t="s">
        <v>259</v>
      </c>
      <c r="I19" s="1" t="s">
        <v>274</v>
      </c>
      <c r="J19">
        <v>1</v>
      </c>
    </row>
    <row r="20" spans="1:10" x14ac:dyDescent="0.35">
      <c r="A20" s="12" t="s">
        <v>284</v>
      </c>
      <c r="B20" s="16">
        <v>1</v>
      </c>
      <c r="C20" s="15">
        <v>8.4</v>
      </c>
      <c r="D20" t="s">
        <v>259</v>
      </c>
      <c r="E20" s="15">
        <v>94</v>
      </c>
      <c r="F20" t="s">
        <v>258</v>
      </c>
      <c r="G20" s="6">
        <v>0</v>
      </c>
      <c r="H20" t="s">
        <v>259</v>
      </c>
      <c r="I20" s="1" t="s">
        <v>274</v>
      </c>
      <c r="J20">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C2A7-6360-4709-858C-9CC41DB67AA8}">
  <dimension ref="A1:N110"/>
  <sheetViews>
    <sheetView zoomScale="70" zoomScaleNormal="70" workbookViewId="0">
      <selection activeCell="M14" sqref="M14"/>
    </sheetView>
  </sheetViews>
  <sheetFormatPr defaultColWidth="23.08984375" defaultRowHeight="14.5" x14ac:dyDescent="0.35"/>
  <cols>
    <col min="1" max="1" width="23.08984375" style="10"/>
    <col min="2" max="2" width="23.08984375" style="8"/>
    <col min="3" max="3" width="23.08984375" style="10"/>
    <col min="4" max="4" width="23.08984375" style="6"/>
    <col min="5" max="5" width="3.453125" customWidth="1"/>
    <col min="7" max="7" width="12.26953125" customWidth="1"/>
    <col min="8" max="8" width="14.90625" customWidth="1"/>
    <col min="9" max="9" width="14.36328125" customWidth="1"/>
    <col min="10" max="10" width="15" customWidth="1"/>
    <col min="11" max="11" width="13.81640625" customWidth="1"/>
    <col min="12" max="12" width="14.6328125" customWidth="1"/>
    <col min="13" max="13" width="16.08984375" customWidth="1"/>
    <col min="14" max="14" width="16.54296875" customWidth="1"/>
  </cols>
  <sheetData>
    <row r="1" spans="1:14" x14ac:dyDescent="0.35">
      <c r="A1" s="9" t="s">
        <v>3</v>
      </c>
      <c r="B1" s="7" t="s">
        <v>5</v>
      </c>
      <c r="C1" s="9" t="s">
        <v>6</v>
      </c>
      <c r="D1" s="5" t="s">
        <v>7</v>
      </c>
      <c r="F1" s="71" t="s">
        <v>314</v>
      </c>
      <c r="G1" s="72"/>
    </row>
    <row r="2" spans="1:14" x14ac:dyDescent="0.35">
      <c r="A2" s="14">
        <v>142</v>
      </c>
      <c r="B2" s="14">
        <v>9.3000000000000007</v>
      </c>
      <c r="C2" s="14">
        <v>82</v>
      </c>
      <c r="D2" s="6">
        <v>28.34</v>
      </c>
      <c r="F2" s="63" t="s">
        <v>311</v>
      </c>
      <c r="G2" s="64">
        <f>CORREL(A2:A110,D2:D110)</f>
        <v>0.11173828774583873</v>
      </c>
    </row>
    <row r="3" spans="1:14" x14ac:dyDescent="0.35">
      <c r="A3" s="14">
        <v>175</v>
      </c>
      <c r="B3" s="14">
        <v>9.1999999999999993</v>
      </c>
      <c r="C3" s="14">
        <v>100</v>
      </c>
      <c r="D3" s="6">
        <v>134.97</v>
      </c>
      <c r="F3" s="63" t="s">
        <v>312</v>
      </c>
      <c r="G3" s="64">
        <f>CORREL(B2:B110,D2:D110)</f>
        <v>0.10495677648670104</v>
      </c>
    </row>
    <row r="4" spans="1:14" x14ac:dyDescent="0.35">
      <c r="A4" s="14">
        <v>152</v>
      </c>
      <c r="B4" s="14">
        <v>9</v>
      </c>
      <c r="C4" s="14">
        <v>84</v>
      </c>
      <c r="D4" s="6">
        <v>534.86</v>
      </c>
      <c r="F4" s="63" t="s">
        <v>313</v>
      </c>
      <c r="G4" s="64">
        <f>CORREL(C2:C110,D2:D110)</f>
        <v>0.13122150310969619</v>
      </c>
    </row>
    <row r="5" spans="1:14" x14ac:dyDescent="0.35">
      <c r="A5" s="14">
        <v>195</v>
      </c>
      <c r="B5" s="14">
        <v>9</v>
      </c>
      <c r="C5" s="14">
        <v>95</v>
      </c>
      <c r="D5" s="6">
        <v>96.9</v>
      </c>
    </row>
    <row r="6" spans="1:14" x14ac:dyDescent="0.35">
      <c r="A6" s="14">
        <v>96</v>
      </c>
      <c r="B6" s="14">
        <v>9</v>
      </c>
      <c r="C6" s="14">
        <v>97</v>
      </c>
      <c r="D6" s="6">
        <v>4.3600000000000003</v>
      </c>
    </row>
    <row r="7" spans="1:14" x14ac:dyDescent="0.35">
      <c r="A7" s="14">
        <v>201</v>
      </c>
      <c r="B7" s="14">
        <v>9</v>
      </c>
      <c r="C7" s="14">
        <v>94</v>
      </c>
      <c r="D7" s="6">
        <v>377.85</v>
      </c>
      <c r="F7" s="71" t="s">
        <v>286</v>
      </c>
      <c r="G7" s="72"/>
    </row>
    <row r="8" spans="1:14" x14ac:dyDescent="0.35">
      <c r="A8" s="14">
        <v>202</v>
      </c>
      <c r="B8" s="14">
        <v>9</v>
      </c>
      <c r="C8" s="14">
        <v>90</v>
      </c>
      <c r="D8" s="6">
        <v>57.3</v>
      </c>
      <c r="F8" s="21" t="s">
        <v>287</v>
      </c>
      <c r="G8" s="22">
        <v>0.19030856349491607</v>
      </c>
    </row>
    <row r="9" spans="1:14" x14ac:dyDescent="0.35">
      <c r="A9" s="14">
        <v>154</v>
      </c>
      <c r="B9" s="14">
        <v>8.9</v>
      </c>
      <c r="C9" s="14">
        <v>95</v>
      </c>
      <c r="D9" s="6">
        <v>107.93</v>
      </c>
      <c r="F9" s="21" t="s">
        <v>288</v>
      </c>
      <c r="G9" s="22">
        <v>3.6217349339498502E-2</v>
      </c>
      <c r="H9" s="23"/>
      <c r="I9" s="63" t="s">
        <v>315</v>
      </c>
      <c r="J9" s="20"/>
      <c r="K9" s="20"/>
      <c r="L9" s="20"/>
      <c r="M9" s="20"/>
    </row>
    <row r="10" spans="1:14" x14ac:dyDescent="0.35">
      <c r="A10" s="14">
        <v>148</v>
      </c>
      <c r="B10" s="14">
        <v>8.8000000000000007</v>
      </c>
      <c r="C10" s="14">
        <v>74</v>
      </c>
      <c r="D10" s="6">
        <v>292.58</v>
      </c>
      <c r="F10" s="21" t="s">
        <v>289</v>
      </c>
      <c r="G10" s="22">
        <v>8.6807021777698893E-3</v>
      </c>
      <c r="H10" s="23"/>
      <c r="I10" s="63" t="s">
        <v>316</v>
      </c>
      <c r="J10" s="20"/>
      <c r="K10" s="20"/>
      <c r="L10" s="20"/>
      <c r="M10" s="20"/>
    </row>
    <row r="11" spans="1:14" x14ac:dyDescent="0.35">
      <c r="A11" s="14">
        <v>178</v>
      </c>
      <c r="B11" s="14">
        <v>8.8000000000000007</v>
      </c>
      <c r="C11" s="14">
        <v>92</v>
      </c>
      <c r="D11" s="6">
        <v>315.54000000000002</v>
      </c>
      <c r="F11" s="21" t="s">
        <v>290</v>
      </c>
      <c r="G11" s="22">
        <v>162.9759334741924</v>
      </c>
    </row>
    <row r="12" spans="1:14" x14ac:dyDescent="0.35">
      <c r="A12" s="14">
        <v>139</v>
      </c>
      <c r="B12" s="14">
        <v>8.8000000000000007</v>
      </c>
      <c r="C12" s="14">
        <v>67</v>
      </c>
      <c r="D12" s="6">
        <v>37.03</v>
      </c>
      <c r="F12" s="21" t="s">
        <v>291</v>
      </c>
      <c r="G12" s="21">
        <v>109</v>
      </c>
    </row>
    <row r="13" spans="1:14" x14ac:dyDescent="0.35">
      <c r="A13" s="14">
        <v>142</v>
      </c>
      <c r="B13" s="14">
        <v>8.8000000000000007</v>
      </c>
      <c r="C13" s="14">
        <v>82</v>
      </c>
      <c r="D13" s="6">
        <v>330.25</v>
      </c>
    </row>
    <row r="14" spans="1:14" ht="15" thickBot="1" x14ac:dyDescent="0.4">
      <c r="A14" s="14">
        <v>178</v>
      </c>
      <c r="B14" s="14">
        <v>8.8000000000000007</v>
      </c>
      <c r="C14" s="14">
        <v>90</v>
      </c>
      <c r="D14" s="6">
        <v>6.1</v>
      </c>
      <c r="F14" s="80" t="s">
        <v>292</v>
      </c>
      <c r="G14" s="80"/>
      <c r="H14" s="80"/>
      <c r="I14" s="80"/>
      <c r="J14" s="80"/>
      <c r="K14" s="81"/>
    </row>
    <row r="15" spans="1:14" x14ac:dyDescent="0.35">
      <c r="A15" s="14">
        <v>179</v>
      </c>
      <c r="B15" s="14">
        <v>8.8000000000000007</v>
      </c>
      <c r="C15" s="14">
        <v>87</v>
      </c>
      <c r="D15" s="6">
        <v>342.55</v>
      </c>
      <c r="F15" s="19"/>
      <c r="G15" s="19" t="s">
        <v>297</v>
      </c>
      <c r="H15" s="19" t="s">
        <v>298</v>
      </c>
      <c r="I15" s="19" t="s">
        <v>299</v>
      </c>
      <c r="J15" s="19" t="s">
        <v>300</v>
      </c>
      <c r="K15" s="19" t="s">
        <v>301</v>
      </c>
      <c r="L15" s="23"/>
      <c r="M15" s="23"/>
      <c r="N15" s="23"/>
    </row>
    <row r="16" spans="1:14" x14ac:dyDescent="0.35">
      <c r="A16" s="14">
        <v>169</v>
      </c>
      <c r="B16" s="14">
        <v>8.6999999999999993</v>
      </c>
      <c r="C16" s="14">
        <v>74</v>
      </c>
      <c r="D16" s="6">
        <v>188.02</v>
      </c>
      <c r="F16" s="17" t="s">
        <v>293</v>
      </c>
      <c r="G16" s="17">
        <v>3</v>
      </c>
      <c r="H16" s="17">
        <v>104803.02339566639</v>
      </c>
      <c r="I16" s="17">
        <v>34934.341131888796</v>
      </c>
      <c r="J16" s="17">
        <v>1.3152417985670612</v>
      </c>
      <c r="K16" s="17">
        <v>0.27339740164449944</v>
      </c>
      <c r="L16" s="23"/>
      <c r="M16" s="79" t="s">
        <v>317</v>
      </c>
      <c r="N16" s="79"/>
    </row>
    <row r="17" spans="1:14" x14ac:dyDescent="0.35">
      <c r="A17" s="14">
        <v>145</v>
      </c>
      <c r="B17" s="14">
        <v>8.6999999999999993</v>
      </c>
      <c r="C17" s="14">
        <v>92</v>
      </c>
      <c r="D17" s="6">
        <v>46.84</v>
      </c>
      <c r="F17" s="17" t="s">
        <v>294</v>
      </c>
      <c r="G17" s="17">
        <v>105</v>
      </c>
      <c r="H17" s="17">
        <v>2788921.2636373611</v>
      </c>
      <c r="I17" s="17">
        <v>26561.15489178439</v>
      </c>
      <c r="J17" s="17"/>
      <c r="K17" s="17"/>
      <c r="L17" s="23"/>
      <c r="M17" s="79"/>
      <c r="N17" s="79"/>
    </row>
    <row r="18" spans="1:14" ht="15" thickBot="1" x14ac:dyDescent="0.4">
      <c r="A18" s="14">
        <v>136</v>
      </c>
      <c r="B18" s="14">
        <v>8.6999999999999993</v>
      </c>
      <c r="C18" s="14">
        <v>73</v>
      </c>
      <c r="D18" s="6">
        <v>171.48</v>
      </c>
      <c r="F18" s="18" t="s">
        <v>295</v>
      </c>
      <c r="G18" s="18">
        <v>108</v>
      </c>
      <c r="H18" s="18">
        <v>2893724.2870330275</v>
      </c>
      <c r="I18" s="18"/>
      <c r="J18" s="18"/>
      <c r="K18" s="18"/>
    </row>
    <row r="19" spans="1:14" ht="15" thickBot="1" x14ac:dyDescent="0.4">
      <c r="A19" s="14">
        <v>133</v>
      </c>
      <c r="B19" s="14">
        <v>8.6999999999999993</v>
      </c>
      <c r="C19" s="14">
        <v>84</v>
      </c>
      <c r="D19" s="6">
        <v>112</v>
      </c>
    </row>
    <row r="20" spans="1:14" x14ac:dyDescent="0.35">
      <c r="A20" s="14">
        <v>124</v>
      </c>
      <c r="B20" s="14">
        <v>8.6999999999999993</v>
      </c>
      <c r="C20" s="14">
        <v>82</v>
      </c>
      <c r="D20" s="6">
        <v>290.48</v>
      </c>
      <c r="F20" s="19"/>
      <c r="G20" s="19" t="s">
        <v>302</v>
      </c>
      <c r="H20" s="19" t="s">
        <v>290</v>
      </c>
      <c r="I20" s="19" t="s">
        <v>303</v>
      </c>
      <c r="J20" s="19" t="s">
        <v>304</v>
      </c>
      <c r="K20" s="19" t="s">
        <v>305</v>
      </c>
      <c r="L20" s="19" t="s">
        <v>306</v>
      </c>
      <c r="M20" s="19" t="s">
        <v>307</v>
      </c>
      <c r="N20" s="19" t="s">
        <v>308</v>
      </c>
    </row>
    <row r="21" spans="1:14" x14ac:dyDescent="0.35">
      <c r="A21" s="14">
        <v>189</v>
      </c>
      <c r="B21" s="14">
        <v>8.6</v>
      </c>
      <c r="C21" s="14">
        <v>61</v>
      </c>
      <c r="D21" s="6">
        <v>136.80000000000001</v>
      </c>
      <c r="F21" s="17" t="s">
        <v>296</v>
      </c>
      <c r="G21" s="17">
        <v>-370.54977036390562</v>
      </c>
      <c r="H21" s="17">
        <v>655.91620431595561</v>
      </c>
      <c r="I21" s="17">
        <v>-0.56493461805894241</v>
      </c>
      <c r="J21" s="17">
        <v>0.57332325750014079</v>
      </c>
      <c r="K21" s="17">
        <v>-1671.1104386112547</v>
      </c>
      <c r="L21" s="17">
        <v>930.01089788344359</v>
      </c>
      <c r="M21" s="17">
        <v>-1671.1104386112547</v>
      </c>
      <c r="N21" s="17">
        <v>930.01089788344359</v>
      </c>
    </row>
    <row r="22" spans="1:14" x14ac:dyDescent="0.35">
      <c r="A22" s="14">
        <v>137</v>
      </c>
      <c r="B22" s="14">
        <v>8.6</v>
      </c>
      <c r="C22" s="14">
        <v>75</v>
      </c>
      <c r="D22" s="6">
        <v>204.84</v>
      </c>
      <c r="F22" s="17" t="s">
        <v>3</v>
      </c>
      <c r="G22" s="17">
        <v>0.624647674873546</v>
      </c>
      <c r="H22" s="17">
        <v>0.54413652405328072</v>
      </c>
      <c r="I22" s="17">
        <v>1.1479613061452603</v>
      </c>
      <c r="J22" s="17">
        <v>0.25359326156424028</v>
      </c>
      <c r="K22" s="17">
        <v>-0.45427453604904466</v>
      </c>
      <c r="L22" s="17">
        <v>1.7035698857961368</v>
      </c>
      <c r="M22" s="17">
        <v>-0.45427453604904466</v>
      </c>
      <c r="N22" s="17">
        <v>1.7035698857961368</v>
      </c>
    </row>
    <row r="23" spans="1:14" x14ac:dyDescent="0.35">
      <c r="A23" s="14">
        <v>127</v>
      </c>
      <c r="B23" s="14">
        <v>8.6</v>
      </c>
      <c r="C23" s="14">
        <v>65</v>
      </c>
      <c r="D23" s="6">
        <v>100.13</v>
      </c>
      <c r="F23" s="17" t="s">
        <v>5</v>
      </c>
      <c r="G23" s="17">
        <v>38.547518740629187</v>
      </c>
      <c r="H23" s="17">
        <v>80.317847838447605</v>
      </c>
      <c r="I23" s="17">
        <v>0.47993714694851114</v>
      </c>
      <c r="J23" s="17">
        <v>0.63227035759902628</v>
      </c>
      <c r="K23" s="17">
        <v>-120.70793671179118</v>
      </c>
      <c r="L23" s="17">
        <v>197.80297419304955</v>
      </c>
      <c r="M23" s="17">
        <v>-120.70793671179118</v>
      </c>
      <c r="N23" s="17">
        <v>197.80297419304955</v>
      </c>
    </row>
    <row r="24" spans="1:14" ht="15" thickBot="1" x14ac:dyDescent="0.4">
      <c r="A24" s="14">
        <v>169</v>
      </c>
      <c r="B24" s="14">
        <v>8.6</v>
      </c>
      <c r="C24" s="14">
        <v>91</v>
      </c>
      <c r="D24" s="6">
        <v>216.54</v>
      </c>
      <c r="F24" s="18" t="s">
        <v>6</v>
      </c>
      <c r="G24" s="18">
        <v>0.93202743480571559</v>
      </c>
      <c r="H24" s="18">
        <v>0.67072071364397667</v>
      </c>
      <c r="I24" s="18">
        <v>1.3895909517123433</v>
      </c>
      <c r="J24" s="18">
        <v>0.16759261225088651</v>
      </c>
      <c r="K24" s="18">
        <v>-0.39788784065827487</v>
      </c>
      <c r="L24" s="18">
        <v>2.2619427102697061</v>
      </c>
      <c r="M24" s="18">
        <v>-0.39788784065827487</v>
      </c>
      <c r="N24" s="18">
        <v>2.2619427102697061</v>
      </c>
    </row>
    <row r="25" spans="1:14" ht="14.5" customHeight="1" x14ac:dyDescent="0.35">
      <c r="A25" s="14">
        <v>118</v>
      </c>
      <c r="B25" s="14">
        <v>8.6</v>
      </c>
      <c r="C25" s="14">
        <v>86</v>
      </c>
      <c r="D25" s="6">
        <v>130.74</v>
      </c>
      <c r="F25" s="23"/>
      <c r="G25" s="23"/>
      <c r="H25" s="65"/>
      <c r="I25" s="23"/>
      <c r="J25" s="23"/>
      <c r="K25" s="65"/>
    </row>
    <row r="26" spans="1:14" ht="15" customHeight="1" x14ac:dyDescent="0.35">
      <c r="A26" s="14">
        <v>121</v>
      </c>
      <c r="B26" s="14">
        <v>8.6</v>
      </c>
      <c r="C26" s="14">
        <v>90</v>
      </c>
      <c r="D26" s="6">
        <v>322.74</v>
      </c>
      <c r="F26" s="23"/>
      <c r="G26" s="79" t="s">
        <v>318</v>
      </c>
      <c r="H26" s="79"/>
      <c r="I26" s="23"/>
      <c r="J26" s="79" t="s">
        <v>309</v>
      </c>
      <c r="K26" s="79"/>
    </row>
    <row r="27" spans="1:14" x14ac:dyDescent="0.35">
      <c r="A27" s="14">
        <v>125</v>
      </c>
      <c r="B27" s="14">
        <v>8.6</v>
      </c>
      <c r="C27" s="14">
        <v>96</v>
      </c>
      <c r="D27" s="6">
        <v>10.06</v>
      </c>
      <c r="F27" s="23"/>
      <c r="G27" s="79"/>
      <c r="H27" s="79"/>
      <c r="I27" s="23"/>
      <c r="J27" s="79"/>
      <c r="K27" s="79"/>
    </row>
    <row r="28" spans="1:14" x14ac:dyDescent="0.35">
      <c r="A28" s="14">
        <v>130</v>
      </c>
      <c r="B28" s="14">
        <v>8.6</v>
      </c>
      <c r="C28" s="14">
        <v>79</v>
      </c>
      <c r="D28" s="6">
        <v>7.56</v>
      </c>
      <c r="F28" s="23"/>
      <c r="G28" s="23"/>
      <c r="H28" s="23"/>
      <c r="I28" s="23"/>
      <c r="J28" s="23"/>
      <c r="K28" s="23"/>
    </row>
    <row r="29" spans="1:14" x14ac:dyDescent="0.35">
      <c r="A29" s="14">
        <v>116</v>
      </c>
      <c r="B29" s="14">
        <v>8.6</v>
      </c>
      <c r="C29" s="14">
        <v>59</v>
      </c>
      <c r="D29" s="6">
        <v>57.6</v>
      </c>
      <c r="F29" s="79" t="s">
        <v>310</v>
      </c>
      <c r="G29" s="79"/>
      <c r="H29" s="79"/>
      <c r="I29" s="79"/>
      <c r="J29" s="79"/>
      <c r="K29" s="79"/>
    </row>
    <row r="30" spans="1:14" x14ac:dyDescent="0.35">
      <c r="A30" s="14">
        <v>207</v>
      </c>
      <c r="B30" s="14">
        <v>8.6</v>
      </c>
      <c r="C30" s="14">
        <v>98</v>
      </c>
      <c r="D30" s="6">
        <v>0.27</v>
      </c>
      <c r="F30" s="79"/>
      <c r="G30" s="79"/>
      <c r="H30" s="79"/>
      <c r="I30" s="79"/>
      <c r="J30" s="79"/>
      <c r="K30" s="79"/>
    </row>
    <row r="31" spans="1:14" x14ac:dyDescent="0.35">
      <c r="A31" s="14">
        <v>130</v>
      </c>
      <c r="B31" s="14">
        <v>8.6</v>
      </c>
      <c r="C31" s="14">
        <v>89</v>
      </c>
      <c r="D31" s="6">
        <v>0</v>
      </c>
      <c r="F31" s="79"/>
      <c r="G31" s="79"/>
      <c r="H31" s="79"/>
      <c r="I31" s="79"/>
      <c r="J31" s="79"/>
      <c r="K31" s="79"/>
    </row>
    <row r="32" spans="1:14" x14ac:dyDescent="0.35">
      <c r="A32" s="14">
        <v>133</v>
      </c>
      <c r="B32" s="14">
        <v>8.6</v>
      </c>
      <c r="C32" s="14">
        <v>85</v>
      </c>
      <c r="D32" s="6">
        <v>0</v>
      </c>
      <c r="F32" s="79"/>
      <c r="G32" s="79"/>
      <c r="H32" s="79"/>
      <c r="I32" s="79"/>
      <c r="J32" s="79"/>
      <c r="K32" s="79"/>
    </row>
    <row r="33" spans="1:4" x14ac:dyDescent="0.35">
      <c r="A33" s="14">
        <v>163</v>
      </c>
      <c r="B33" s="14">
        <v>8.6</v>
      </c>
      <c r="C33" s="14">
        <v>0</v>
      </c>
      <c r="D33" s="6">
        <v>0</v>
      </c>
    </row>
    <row r="34" spans="1:4" x14ac:dyDescent="0.35">
      <c r="A34" s="14">
        <v>116</v>
      </c>
      <c r="B34" s="14">
        <v>8.5</v>
      </c>
      <c r="C34" s="14">
        <v>87</v>
      </c>
      <c r="D34" s="6">
        <v>210.61</v>
      </c>
    </row>
    <row r="35" spans="1:4" x14ac:dyDescent="0.35">
      <c r="A35" s="14">
        <v>151</v>
      </c>
      <c r="B35" s="14">
        <v>8.5</v>
      </c>
      <c r="C35" s="14">
        <v>85</v>
      </c>
      <c r="D35" s="6">
        <v>132.38</v>
      </c>
    </row>
    <row r="36" spans="1:4" x14ac:dyDescent="0.35">
      <c r="A36" s="14">
        <v>155</v>
      </c>
      <c r="B36" s="14">
        <v>8.5</v>
      </c>
      <c r="C36" s="14">
        <v>67</v>
      </c>
      <c r="D36" s="6">
        <v>187.71</v>
      </c>
    </row>
    <row r="37" spans="1:4" x14ac:dyDescent="0.35">
      <c r="A37" s="14">
        <v>117</v>
      </c>
      <c r="B37" s="14">
        <v>8.5</v>
      </c>
      <c r="C37" s="14">
        <v>89</v>
      </c>
      <c r="D37" s="6">
        <v>78.900000000000006</v>
      </c>
    </row>
    <row r="38" spans="1:4" x14ac:dyDescent="0.35">
      <c r="A38" s="14">
        <v>132</v>
      </c>
      <c r="B38" s="14">
        <v>8.5</v>
      </c>
      <c r="C38" s="14">
        <v>96</v>
      </c>
      <c r="D38" s="6">
        <v>53.37</v>
      </c>
    </row>
    <row r="39" spans="1:4" x14ac:dyDescent="0.35">
      <c r="A39" s="14">
        <v>130</v>
      </c>
      <c r="B39" s="14">
        <v>8.5</v>
      </c>
      <c r="C39" s="14">
        <v>66</v>
      </c>
      <c r="D39" s="6">
        <v>53.09</v>
      </c>
    </row>
    <row r="40" spans="1:4" x14ac:dyDescent="0.35">
      <c r="A40" s="14">
        <v>106</v>
      </c>
      <c r="B40" s="14">
        <v>8.5</v>
      </c>
      <c r="C40" s="14">
        <v>89</v>
      </c>
      <c r="D40" s="6">
        <v>13.09</v>
      </c>
    </row>
    <row r="41" spans="1:4" x14ac:dyDescent="0.35">
      <c r="A41" s="14">
        <v>110</v>
      </c>
      <c r="B41" s="14">
        <v>8.5</v>
      </c>
      <c r="C41" s="14">
        <v>64</v>
      </c>
      <c r="D41" s="6">
        <v>19.5</v>
      </c>
    </row>
    <row r="42" spans="1:4" x14ac:dyDescent="0.35">
      <c r="A42" s="14">
        <v>88</v>
      </c>
      <c r="B42" s="14">
        <v>8.5</v>
      </c>
      <c r="C42" s="14">
        <v>88</v>
      </c>
      <c r="D42" s="6">
        <v>422.78</v>
      </c>
    </row>
    <row r="43" spans="1:4" x14ac:dyDescent="0.35">
      <c r="A43" s="14">
        <v>106</v>
      </c>
      <c r="B43" s="14">
        <v>8.5</v>
      </c>
      <c r="C43" s="14">
        <v>77</v>
      </c>
      <c r="D43" s="6">
        <v>23.34</v>
      </c>
    </row>
    <row r="44" spans="1:4" x14ac:dyDescent="0.35">
      <c r="A44" s="14">
        <v>102</v>
      </c>
      <c r="B44" s="14">
        <v>8.5</v>
      </c>
      <c r="C44" s="14">
        <v>100</v>
      </c>
      <c r="D44" s="6">
        <v>1.02</v>
      </c>
    </row>
    <row r="45" spans="1:4" x14ac:dyDescent="0.35">
      <c r="A45" s="14">
        <v>119</v>
      </c>
      <c r="B45" s="14">
        <v>8.5</v>
      </c>
      <c r="C45" s="14">
        <v>62</v>
      </c>
      <c r="D45" s="6">
        <v>6.72</v>
      </c>
    </row>
    <row r="46" spans="1:4" x14ac:dyDescent="0.35">
      <c r="A46" s="14">
        <v>109</v>
      </c>
      <c r="B46" s="14">
        <v>8.5</v>
      </c>
      <c r="C46" s="14">
        <v>97</v>
      </c>
      <c r="D46" s="6">
        <v>32</v>
      </c>
    </row>
    <row r="47" spans="1:4" x14ac:dyDescent="0.35">
      <c r="A47" s="14">
        <v>150</v>
      </c>
      <c r="B47" s="14">
        <v>8.5</v>
      </c>
      <c r="C47" s="14">
        <v>85</v>
      </c>
      <c r="D47" s="6">
        <v>32.57</v>
      </c>
    </row>
    <row r="48" spans="1:4" x14ac:dyDescent="0.35">
      <c r="A48" s="14">
        <v>112</v>
      </c>
      <c r="B48" s="14">
        <v>8.5</v>
      </c>
      <c r="C48" s="14">
        <v>57</v>
      </c>
      <c r="D48" s="6">
        <v>13.18</v>
      </c>
    </row>
    <row r="49" spans="1:4" x14ac:dyDescent="0.35">
      <c r="A49" s="14">
        <v>165</v>
      </c>
      <c r="B49" s="14">
        <v>8.5</v>
      </c>
      <c r="C49" s="14">
        <v>82</v>
      </c>
      <c r="D49" s="6">
        <v>5.32</v>
      </c>
    </row>
    <row r="50" spans="1:4" x14ac:dyDescent="0.35">
      <c r="A50" s="14">
        <v>89</v>
      </c>
      <c r="B50" s="14">
        <v>8.5</v>
      </c>
      <c r="C50" s="14">
        <v>94</v>
      </c>
      <c r="D50" s="6">
        <v>0</v>
      </c>
    </row>
    <row r="51" spans="1:4" x14ac:dyDescent="0.35">
      <c r="A51" s="14">
        <v>112</v>
      </c>
      <c r="B51" s="14">
        <v>8.5</v>
      </c>
      <c r="C51" s="14">
        <v>100</v>
      </c>
      <c r="D51" s="6">
        <v>36.76</v>
      </c>
    </row>
    <row r="52" spans="1:4" x14ac:dyDescent="0.35">
      <c r="A52" s="14">
        <v>155</v>
      </c>
      <c r="B52" s="14">
        <v>8.5</v>
      </c>
      <c r="C52" s="14">
        <v>80</v>
      </c>
      <c r="D52" s="6">
        <v>11.99</v>
      </c>
    </row>
    <row r="53" spans="1:4" x14ac:dyDescent="0.35">
      <c r="A53" s="14">
        <v>87</v>
      </c>
      <c r="B53" s="14">
        <v>8.5</v>
      </c>
      <c r="C53" s="14">
        <v>96</v>
      </c>
      <c r="D53" s="6">
        <v>0.16</v>
      </c>
    </row>
    <row r="54" spans="1:4" x14ac:dyDescent="0.35">
      <c r="A54" s="14">
        <v>87</v>
      </c>
      <c r="B54" s="14">
        <v>8.5</v>
      </c>
      <c r="C54" s="14">
        <v>99</v>
      </c>
      <c r="D54" s="6">
        <v>0.02</v>
      </c>
    </row>
    <row r="55" spans="1:4" x14ac:dyDescent="0.35">
      <c r="A55" s="14">
        <v>158</v>
      </c>
      <c r="B55" s="14">
        <v>8.5</v>
      </c>
      <c r="C55" s="14">
        <v>0</v>
      </c>
      <c r="D55" s="6">
        <v>0</v>
      </c>
    </row>
    <row r="56" spans="1:4" x14ac:dyDescent="0.35">
      <c r="A56" s="14">
        <v>115</v>
      </c>
      <c r="B56" s="14">
        <v>8.4</v>
      </c>
      <c r="C56" s="14">
        <v>85</v>
      </c>
      <c r="D56" s="6">
        <v>248.16</v>
      </c>
    </row>
    <row r="57" spans="1:4" x14ac:dyDescent="0.35">
      <c r="A57" s="14">
        <v>117</v>
      </c>
      <c r="B57" s="14">
        <v>8.4</v>
      </c>
      <c r="C57" s="14">
        <v>87</v>
      </c>
      <c r="D57" s="6">
        <v>190.24</v>
      </c>
    </row>
    <row r="58" spans="1:4" x14ac:dyDescent="0.35">
      <c r="A58" s="14">
        <v>181</v>
      </c>
      <c r="B58" s="14">
        <v>8.4</v>
      </c>
      <c r="C58" s="14">
        <v>78</v>
      </c>
      <c r="D58" s="6">
        <v>858.37</v>
      </c>
    </row>
    <row r="59" spans="1:4" x14ac:dyDescent="0.35">
      <c r="A59" s="14">
        <v>165</v>
      </c>
      <c r="B59" s="14">
        <v>8.4</v>
      </c>
      <c r="C59" s="14">
        <v>81</v>
      </c>
      <c r="D59" s="6">
        <v>162.81</v>
      </c>
    </row>
    <row r="60" spans="1:4" x14ac:dyDescent="0.35">
      <c r="A60" s="14">
        <v>147</v>
      </c>
      <c r="B60" s="14">
        <v>8.4</v>
      </c>
      <c r="C60" s="14">
        <v>94</v>
      </c>
      <c r="D60" s="6">
        <v>83.47</v>
      </c>
    </row>
    <row r="61" spans="1:4" x14ac:dyDescent="0.35">
      <c r="A61" s="14">
        <v>137</v>
      </c>
      <c r="B61" s="14">
        <v>8.4</v>
      </c>
      <c r="C61" s="14">
        <v>84</v>
      </c>
      <c r="D61" s="6">
        <v>85.16</v>
      </c>
    </row>
    <row r="62" spans="1:4" x14ac:dyDescent="0.35">
      <c r="A62" s="14">
        <v>122</v>
      </c>
      <c r="B62" s="14">
        <v>8.4</v>
      </c>
      <c r="C62" s="14">
        <v>59</v>
      </c>
      <c r="D62" s="6">
        <v>335.45</v>
      </c>
    </row>
    <row r="63" spans="1:4" x14ac:dyDescent="0.35">
      <c r="A63" s="14">
        <v>164</v>
      </c>
      <c r="B63" s="14">
        <v>8.4</v>
      </c>
      <c r="C63" s="14">
        <v>78</v>
      </c>
      <c r="D63" s="6">
        <v>448.14</v>
      </c>
    </row>
    <row r="64" spans="1:4" x14ac:dyDescent="0.35">
      <c r="A64" s="14">
        <v>149</v>
      </c>
      <c r="B64" s="14">
        <v>8.4</v>
      </c>
      <c r="C64" s="14">
        <v>68</v>
      </c>
      <c r="D64" s="6">
        <v>678.82</v>
      </c>
    </row>
    <row r="65" spans="1:4" x14ac:dyDescent="0.35">
      <c r="A65" s="14">
        <v>146</v>
      </c>
      <c r="B65" s="14">
        <v>8.4</v>
      </c>
      <c r="C65" s="14">
        <v>66</v>
      </c>
      <c r="D65" s="6">
        <v>44.02</v>
      </c>
    </row>
    <row r="66" spans="1:4" x14ac:dyDescent="0.35">
      <c r="A66" s="14">
        <v>120</v>
      </c>
      <c r="B66" s="14">
        <v>8.4</v>
      </c>
      <c r="C66" s="14">
        <v>77</v>
      </c>
      <c r="D66" s="6">
        <v>0.71</v>
      </c>
    </row>
    <row r="67" spans="1:4" x14ac:dyDescent="0.35">
      <c r="A67" s="14">
        <v>113</v>
      </c>
      <c r="B67" s="14">
        <v>8.4</v>
      </c>
      <c r="C67" s="14">
        <v>83</v>
      </c>
      <c r="D67" s="6">
        <v>25.54</v>
      </c>
    </row>
    <row r="68" spans="1:4" x14ac:dyDescent="0.35">
      <c r="A68" s="14">
        <v>160</v>
      </c>
      <c r="B68" s="14">
        <v>8.4</v>
      </c>
      <c r="C68" s="14">
        <v>88</v>
      </c>
      <c r="D68" s="6">
        <v>51.97</v>
      </c>
    </row>
    <row r="69" spans="1:4" x14ac:dyDescent="0.35">
      <c r="A69" s="14">
        <v>142</v>
      </c>
      <c r="B69" s="14">
        <v>8.4</v>
      </c>
      <c r="C69" s="14">
        <v>0</v>
      </c>
      <c r="D69" s="6">
        <v>0</v>
      </c>
    </row>
    <row r="70" spans="1:4" x14ac:dyDescent="0.35">
      <c r="A70" s="14">
        <v>105</v>
      </c>
      <c r="B70" s="14">
        <v>8.4</v>
      </c>
      <c r="C70" s="14">
        <v>81</v>
      </c>
      <c r="D70" s="6">
        <v>209.73</v>
      </c>
    </row>
    <row r="71" spans="1:4" x14ac:dyDescent="0.35">
      <c r="A71" s="14">
        <v>106</v>
      </c>
      <c r="B71" s="14">
        <v>8.4</v>
      </c>
      <c r="C71" s="14">
        <v>81</v>
      </c>
      <c r="D71" s="6">
        <v>5.0199999999999996</v>
      </c>
    </row>
    <row r="72" spans="1:4" x14ac:dyDescent="0.35">
      <c r="A72" s="14">
        <v>98</v>
      </c>
      <c r="B72" s="14">
        <v>8.4</v>
      </c>
      <c r="C72" s="14">
        <v>95</v>
      </c>
      <c r="D72" s="6">
        <v>223.81</v>
      </c>
    </row>
    <row r="73" spans="1:4" x14ac:dyDescent="0.35">
      <c r="A73" s="14">
        <v>170</v>
      </c>
      <c r="B73" s="14">
        <v>8.4</v>
      </c>
      <c r="C73" s="14">
        <v>67</v>
      </c>
      <c r="D73" s="6">
        <v>6.53</v>
      </c>
    </row>
    <row r="74" spans="1:4" x14ac:dyDescent="0.35">
      <c r="A74" s="14">
        <v>137</v>
      </c>
      <c r="B74" s="14">
        <v>8.4</v>
      </c>
      <c r="C74" s="14">
        <v>89</v>
      </c>
      <c r="D74" s="6">
        <v>11.29</v>
      </c>
    </row>
    <row r="75" spans="1:4" x14ac:dyDescent="0.35">
      <c r="A75" s="14">
        <v>95</v>
      </c>
      <c r="B75" s="14">
        <v>8.4</v>
      </c>
      <c r="C75" s="14">
        <v>97</v>
      </c>
      <c r="D75" s="6">
        <v>0.28000000000000003</v>
      </c>
    </row>
    <row r="76" spans="1:4" x14ac:dyDescent="0.35">
      <c r="A76" s="14">
        <v>149</v>
      </c>
      <c r="B76" s="14">
        <v>8.4</v>
      </c>
      <c r="C76" s="14">
        <v>86</v>
      </c>
      <c r="D76" s="6">
        <v>11.49</v>
      </c>
    </row>
    <row r="77" spans="1:4" x14ac:dyDescent="0.35">
      <c r="A77" s="14">
        <v>126</v>
      </c>
      <c r="B77" s="14">
        <v>8.4</v>
      </c>
      <c r="C77" s="14">
        <v>75</v>
      </c>
      <c r="D77" s="6">
        <v>1.66</v>
      </c>
    </row>
    <row r="78" spans="1:4" x14ac:dyDescent="0.35">
      <c r="A78" s="14">
        <v>110</v>
      </c>
      <c r="B78" s="14">
        <v>8.4</v>
      </c>
      <c r="C78" s="14">
        <v>94</v>
      </c>
      <c r="D78" s="6">
        <v>0</v>
      </c>
    </row>
    <row r="79" spans="1:4" x14ac:dyDescent="0.35">
      <c r="A79" s="14">
        <v>88</v>
      </c>
      <c r="B79" s="14">
        <v>8.4</v>
      </c>
      <c r="C79" s="14">
        <v>90</v>
      </c>
      <c r="D79" s="6">
        <v>0</v>
      </c>
    </row>
    <row r="80" spans="1:4" x14ac:dyDescent="0.35">
      <c r="A80" s="14">
        <v>116</v>
      </c>
      <c r="B80" s="14">
        <v>8.4</v>
      </c>
      <c r="C80" s="14">
        <v>76</v>
      </c>
      <c r="D80" s="6">
        <v>8.18</v>
      </c>
    </row>
    <row r="81" spans="1:4" x14ac:dyDescent="0.35">
      <c r="A81" s="14">
        <v>125</v>
      </c>
      <c r="B81" s="14">
        <v>8.4</v>
      </c>
      <c r="C81" s="14">
        <v>0</v>
      </c>
      <c r="D81" s="6">
        <v>0.28999999999999998</v>
      </c>
    </row>
    <row r="82" spans="1:4" x14ac:dyDescent="0.35">
      <c r="A82" s="14">
        <v>143</v>
      </c>
      <c r="B82" s="14">
        <v>8.4</v>
      </c>
      <c r="C82" s="14">
        <v>90</v>
      </c>
      <c r="D82" s="6">
        <v>0</v>
      </c>
    </row>
    <row r="83" spans="1:4" x14ac:dyDescent="0.35">
      <c r="A83" s="14">
        <v>145</v>
      </c>
      <c r="B83" s="14">
        <v>8.4</v>
      </c>
      <c r="C83" s="14">
        <v>0</v>
      </c>
      <c r="D83" s="6">
        <v>0</v>
      </c>
    </row>
    <row r="84" spans="1:4" x14ac:dyDescent="0.35">
      <c r="A84" s="14">
        <v>164</v>
      </c>
      <c r="B84" s="14">
        <v>8.4</v>
      </c>
      <c r="C84" s="14">
        <v>0</v>
      </c>
      <c r="D84" s="6">
        <v>0</v>
      </c>
    </row>
    <row r="85" spans="1:4" x14ac:dyDescent="0.35">
      <c r="A85" s="14">
        <v>141</v>
      </c>
      <c r="B85" s="14">
        <v>8.4</v>
      </c>
      <c r="C85" s="14">
        <v>0</v>
      </c>
      <c r="D85" s="6">
        <v>0</v>
      </c>
    </row>
    <row r="86" spans="1:4" x14ac:dyDescent="0.35">
      <c r="A86" s="14">
        <v>152</v>
      </c>
      <c r="B86" s="14">
        <v>8.4</v>
      </c>
      <c r="C86" s="14">
        <v>0</v>
      </c>
      <c r="D86" s="6">
        <v>0</v>
      </c>
    </row>
    <row r="87" spans="1:4" x14ac:dyDescent="0.35">
      <c r="A87" s="14">
        <v>130</v>
      </c>
      <c r="B87" s="14">
        <v>8.3000000000000007</v>
      </c>
      <c r="C87" s="14">
        <v>78</v>
      </c>
      <c r="D87" s="6">
        <v>718.73</v>
      </c>
    </row>
    <row r="88" spans="1:4" x14ac:dyDescent="0.35">
      <c r="A88" s="14">
        <v>170</v>
      </c>
      <c r="B88" s="14">
        <v>8.3000000000000007</v>
      </c>
      <c r="C88" s="14">
        <v>76</v>
      </c>
      <c r="D88" s="6">
        <v>67.44</v>
      </c>
    </row>
    <row r="89" spans="1:4" x14ac:dyDescent="0.35">
      <c r="A89" s="14">
        <v>153</v>
      </c>
      <c r="B89" s="14">
        <v>8.3000000000000007</v>
      </c>
      <c r="C89" s="14">
        <v>69</v>
      </c>
      <c r="D89" s="6">
        <v>120.54</v>
      </c>
    </row>
    <row r="90" spans="1:4" x14ac:dyDescent="0.35">
      <c r="A90" s="14">
        <v>116</v>
      </c>
      <c r="B90" s="14">
        <v>8.3000000000000007</v>
      </c>
      <c r="C90" s="14">
        <v>78</v>
      </c>
      <c r="D90" s="6">
        <v>46.36</v>
      </c>
    </row>
    <row r="91" spans="1:4" x14ac:dyDescent="0.35">
      <c r="A91" s="14">
        <v>170</v>
      </c>
      <c r="B91" s="14">
        <v>8.3000000000000007</v>
      </c>
      <c r="C91" s="14">
        <v>65</v>
      </c>
      <c r="D91" s="6">
        <v>45.6</v>
      </c>
    </row>
    <row r="92" spans="1:4" x14ac:dyDescent="0.35">
      <c r="A92" s="14">
        <v>122</v>
      </c>
      <c r="B92" s="14">
        <v>8.3000000000000007</v>
      </c>
      <c r="C92" s="14">
        <v>84</v>
      </c>
      <c r="D92" s="6">
        <v>130.1</v>
      </c>
    </row>
    <row r="93" spans="1:4" x14ac:dyDescent="0.35">
      <c r="A93" s="14">
        <v>102</v>
      </c>
      <c r="B93" s="14">
        <v>8.3000000000000007</v>
      </c>
      <c r="C93" s="14">
        <v>71</v>
      </c>
      <c r="D93" s="6">
        <v>3.64</v>
      </c>
    </row>
    <row r="94" spans="1:4" x14ac:dyDescent="0.35">
      <c r="A94" s="14">
        <v>126</v>
      </c>
      <c r="B94" s="14">
        <v>8.3000000000000007</v>
      </c>
      <c r="C94" s="14">
        <v>70</v>
      </c>
      <c r="D94" s="6">
        <v>138.43</v>
      </c>
    </row>
    <row r="95" spans="1:4" x14ac:dyDescent="0.35">
      <c r="A95" s="14">
        <v>108</v>
      </c>
      <c r="B95" s="14">
        <v>8.3000000000000007</v>
      </c>
      <c r="C95" s="14">
        <v>89</v>
      </c>
      <c r="D95" s="6">
        <v>34.4</v>
      </c>
    </row>
    <row r="96" spans="1:4" x14ac:dyDescent="0.35">
      <c r="A96" s="14">
        <v>136</v>
      </c>
      <c r="B96" s="14">
        <v>8.3000000000000007</v>
      </c>
      <c r="C96" s="14">
        <v>77</v>
      </c>
      <c r="D96" s="6">
        <v>6.21</v>
      </c>
    </row>
    <row r="97" spans="1:4" x14ac:dyDescent="0.35">
      <c r="A97" s="14">
        <v>128</v>
      </c>
      <c r="B97" s="14">
        <v>8.3000000000000007</v>
      </c>
      <c r="C97" s="14">
        <v>100</v>
      </c>
      <c r="D97" s="6">
        <v>3.2</v>
      </c>
    </row>
    <row r="98" spans="1:4" x14ac:dyDescent="0.35">
      <c r="A98" s="14">
        <v>178</v>
      </c>
      <c r="B98" s="14">
        <v>8.3000000000000007</v>
      </c>
      <c r="C98" s="14">
        <v>68</v>
      </c>
      <c r="D98" s="6">
        <v>75.599999999999994</v>
      </c>
    </row>
    <row r="99" spans="1:4" x14ac:dyDescent="0.35">
      <c r="A99" s="14">
        <v>149</v>
      </c>
      <c r="B99" s="14">
        <v>8.3000000000000007</v>
      </c>
      <c r="C99" s="14">
        <v>84</v>
      </c>
      <c r="D99" s="6">
        <v>56.95</v>
      </c>
    </row>
    <row r="100" spans="1:4" x14ac:dyDescent="0.35">
      <c r="A100" s="14">
        <v>99</v>
      </c>
      <c r="B100" s="14">
        <v>8.3000000000000007</v>
      </c>
      <c r="C100" s="14">
        <v>81</v>
      </c>
      <c r="D100" s="6">
        <v>2.83</v>
      </c>
    </row>
    <row r="101" spans="1:4" x14ac:dyDescent="0.35">
      <c r="A101" s="14">
        <v>229</v>
      </c>
      <c r="B101" s="14">
        <v>8.3000000000000007</v>
      </c>
      <c r="C101" s="14">
        <v>75</v>
      </c>
      <c r="D101" s="6">
        <v>5.32</v>
      </c>
    </row>
    <row r="102" spans="1:4" x14ac:dyDescent="0.35">
      <c r="A102" s="14">
        <v>115</v>
      </c>
      <c r="B102" s="14">
        <v>8.3000000000000007</v>
      </c>
      <c r="C102" s="14">
        <v>77</v>
      </c>
      <c r="D102" s="6">
        <v>0.69</v>
      </c>
    </row>
    <row r="103" spans="1:4" x14ac:dyDescent="0.35">
      <c r="A103" s="14">
        <v>81</v>
      </c>
      <c r="B103" s="14">
        <v>8.3000000000000007</v>
      </c>
      <c r="C103" s="14">
        <v>96</v>
      </c>
      <c r="D103" s="6">
        <v>191.8</v>
      </c>
    </row>
    <row r="104" spans="1:4" x14ac:dyDescent="0.35">
      <c r="A104" s="14">
        <v>160</v>
      </c>
      <c r="B104" s="14">
        <v>8.3000000000000007</v>
      </c>
      <c r="C104" s="14">
        <v>89</v>
      </c>
      <c r="D104" s="6">
        <v>0</v>
      </c>
    </row>
    <row r="105" spans="1:4" x14ac:dyDescent="0.35">
      <c r="A105" s="14">
        <v>96</v>
      </c>
      <c r="B105" s="14">
        <v>8.3000000000000007</v>
      </c>
      <c r="C105" s="14">
        <v>88</v>
      </c>
      <c r="D105" s="6">
        <v>293</v>
      </c>
    </row>
    <row r="106" spans="1:4" x14ac:dyDescent="0.35">
      <c r="A106" s="14">
        <v>131</v>
      </c>
      <c r="B106" s="14">
        <v>8.3000000000000007</v>
      </c>
      <c r="C106" s="14">
        <v>58</v>
      </c>
      <c r="D106" s="6">
        <v>309.13</v>
      </c>
    </row>
    <row r="107" spans="1:4" x14ac:dyDescent="0.35">
      <c r="A107" s="14">
        <v>122</v>
      </c>
      <c r="B107" s="14">
        <v>8.3000000000000007</v>
      </c>
      <c r="C107" s="14">
        <v>69</v>
      </c>
      <c r="D107" s="6">
        <v>33.229999999999997</v>
      </c>
    </row>
    <row r="108" spans="1:4" x14ac:dyDescent="0.35">
      <c r="A108" s="14">
        <v>131</v>
      </c>
      <c r="B108" s="14">
        <v>8.3000000000000007</v>
      </c>
      <c r="C108" s="14">
        <v>80</v>
      </c>
      <c r="D108" s="6">
        <v>6.86</v>
      </c>
    </row>
    <row r="109" spans="1:4" x14ac:dyDescent="0.35">
      <c r="A109" s="14">
        <v>218</v>
      </c>
      <c r="B109" s="14">
        <v>8.3000000000000007</v>
      </c>
      <c r="C109" s="14">
        <v>100</v>
      </c>
      <c r="D109" s="6">
        <v>44.82</v>
      </c>
    </row>
    <row r="110" spans="1:4" x14ac:dyDescent="0.35">
      <c r="A110" s="14">
        <v>103</v>
      </c>
      <c r="B110" s="14">
        <v>8.3000000000000007</v>
      </c>
      <c r="C110" s="14">
        <v>92</v>
      </c>
      <c r="D110" s="6">
        <v>415</v>
      </c>
    </row>
  </sheetData>
  <mergeCells count="7">
    <mergeCell ref="F1:G1"/>
    <mergeCell ref="F7:G7"/>
    <mergeCell ref="F29:K32"/>
    <mergeCell ref="M16:N17"/>
    <mergeCell ref="G26:H27"/>
    <mergeCell ref="J26:K27"/>
    <mergeCell ref="F14:K14"/>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9856-805D-4AEF-9E50-CFEA00E77D0C}">
  <dimension ref="B2:U42"/>
  <sheetViews>
    <sheetView showGridLines="0" tabSelected="1" topLeftCell="B10" zoomScaleNormal="100" workbookViewId="0">
      <selection activeCell="J12" sqref="J12"/>
    </sheetView>
  </sheetViews>
  <sheetFormatPr defaultRowHeight="14.5" x14ac:dyDescent="0.35"/>
  <cols>
    <col min="2" max="2" width="3.26953125" customWidth="1"/>
    <col min="3" max="3" width="19.7265625" customWidth="1"/>
    <col min="4" max="4" width="14.36328125" bestFit="1" customWidth="1"/>
    <col min="5" max="5" width="16.08984375" bestFit="1" customWidth="1"/>
    <col min="6" max="6" width="10.54296875" bestFit="1" customWidth="1"/>
    <col min="7" max="7" width="13.7265625" bestFit="1" customWidth="1"/>
    <col min="8" max="8" width="14.26953125" bestFit="1" customWidth="1"/>
    <col min="9" max="9" width="10.7265625" bestFit="1" customWidth="1"/>
    <col min="10" max="10" width="10.08984375" bestFit="1" customWidth="1"/>
    <col min="11" max="11" width="3.26953125" customWidth="1"/>
    <col min="12" max="12" width="3.7265625" customWidth="1"/>
    <col min="13" max="13" width="9.54296875" bestFit="1" customWidth="1"/>
    <col min="14" max="14" width="9.453125" style="3" bestFit="1" customWidth="1"/>
    <col min="15" max="15" width="13.1796875" style="3" bestFit="1" customWidth="1"/>
    <col min="16" max="16" width="9" style="5" bestFit="1" customWidth="1"/>
    <col min="19" max="19" width="3.36328125" customWidth="1"/>
  </cols>
  <sheetData>
    <row r="2" spans="2:21" x14ac:dyDescent="0.35">
      <c r="B2" s="66"/>
      <c r="C2" s="67"/>
      <c r="D2" s="67"/>
      <c r="E2" s="67"/>
      <c r="F2" s="67"/>
      <c r="G2" s="67"/>
      <c r="H2" s="67"/>
      <c r="I2" s="67"/>
      <c r="J2" s="67"/>
      <c r="K2" s="67"/>
      <c r="L2" s="67"/>
      <c r="M2" s="67"/>
      <c r="N2" s="68"/>
      <c r="O2" s="68"/>
      <c r="P2" s="69"/>
      <c r="Q2" s="67"/>
      <c r="R2" s="67"/>
      <c r="S2" s="70"/>
    </row>
    <row r="3" spans="2:21" x14ac:dyDescent="0.35">
      <c r="B3" s="27"/>
      <c r="C3" s="44"/>
      <c r="D3" s="44"/>
      <c r="E3" s="44"/>
      <c r="F3" s="44"/>
      <c r="G3" s="44"/>
      <c r="H3" s="44"/>
      <c r="I3" s="44"/>
      <c r="J3" s="44"/>
      <c r="K3" s="44"/>
      <c r="L3" s="44"/>
      <c r="M3" s="44"/>
      <c r="N3" s="58"/>
      <c r="O3" s="58"/>
      <c r="P3" s="59"/>
      <c r="Q3" s="44"/>
      <c r="R3" s="44"/>
      <c r="S3" s="28"/>
    </row>
    <row r="4" spans="2:21" x14ac:dyDescent="0.35">
      <c r="B4" s="27"/>
      <c r="C4" s="44"/>
      <c r="D4" s="44"/>
      <c r="E4" s="44"/>
      <c r="F4" s="44"/>
      <c r="G4" s="44"/>
      <c r="H4" s="44"/>
      <c r="I4" s="44"/>
      <c r="J4" s="44"/>
      <c r="K4" s="44"/>
      <c r="L4" s="44"/>
      <c r="M4" s="44"/>
      <c r="N4" s="58"/>
      <c r="O4" s="58"/>
      <c r="P4" s="59"/>
      <c r="Q4" s="44"/>
      <c r="R4" s="44"/>
      <c r="S4" s="28"/>
    </row>
    <row r="5" spans="2:21" x14ac:dyDescent="0.35">
      <c r="B5" s="27"/>
      <c r="C5" s="44"/>
      <c r="D5" s="44"/>
      <c r="E5" s="44"/>
      <c r="F5" s="44"/>
      <c r="G5" s="44"/>
      <c r="H5" s="44"/>
      <c r="I5" s="44"/>
      <c r="J5" s="44"/>
      <c r="K5" s="44"/>
      <c r="L5" s="44"/>
      <c r="M5" s="44"/>
      <c r="N5" s="58"/>
      <c r="O5" s="58"/>
      <c r="P5" s="59"/>
      <c r="Q5" s="44"/>
      <c r="R5" s="44"/>
      <c r="S5" s="28"/>
    </row>
    <row r="6" spans="2:21" x14ac:dyDescent="0.35">
      <c r="B6" s="27"/>
      <c r="C6" s="75" t="s">
        <v>319</v>
      </c>
      <c r="D6" s="75"/>
      <c r="E6" s="75"/>
      <c r="F6" s="75"/>
      <c r="G6" s="75"/>
      <c r="H6" s="75"/>
      <c r="I6" s="75"/>
      <c r="J6" s="75"/>
      <c r="L6" s="27"/>
      <c r="M6" s="73" t="s">
        <v>333</v>
      </c>
      <c r="N6" s="74"/>
      <c r="O6" s="74"/>
      <c r="P6" s="74"/>
      <c r="Q6" s="74"/>
      <c r="R6" s="74"/>
      <c r="S6" s="28"/>
    </row>
    <row r="7" spans="2:21" x14ac:dyDescent="0.35">
      <c r="B7" s="27"/>
      <c r="C7" s="31" t="s">
        <v>1</v>
      </c>
      <c r="D7" s="31" t="s">
        <v>247</v>
      </c>
      <c r="E7" s="31" t="s">
        <v>248</v>
      </c>
      <c r="F7" s="31" t="s">
        <v>320</v>
      </c>
      <c r="G7" s="31" t="s">
        <v>249</v>
      </c>
      <c r="H7" s="31" t="s">
        <v>321</v>
      </c>
      <c r="I7" s="31" t="s">
        <v>250</v>
      </c>
      <c r="J7" s="31" t="s">
        <v>322</v>
      </c>
      <c r="L7" s="27"/>
      <c r="M7" s="44"/>
      <c r="N7" s="58"/>
      <c r="O7" s="58"/>
      <c r="P7" s="59"/>
      <c r="Q7" s="44"/>
      <c r="R7" s="44"/>
      <c r="S7" s="28"/>
    </row>
    <row r="8" spans="2:21" x14ac:dyDescent="0.35">
      <c r="B8" s="27"/>
      <c r="C8" s="20" t="s">
        <v>12</v>
      </c>
      <c r="D8" s="33">
        <v>3</v>
      </c>
      <c r="E8" s="34">
        <v>8.8666666666666671</v>
      </c>
      <c r="F8" s="33">
        <v>2</v>
      </c>
      <c r="G8" s="35">
        <v>94.666666666666671</v>
      </c>
      <c r="H8" s="33">
        <v>2</v>
      </c>
      <c r="I8" s="24">
        <v>275.74</v>
      </c>
      <c r="J8" s="32">
        <v>5</v>
      </c>
      <c r="L8" s="27"/>
      <c r="M8" s="44"/>
      <c r="N8" s="58"/>
      <c r="O8" s="58"/>
      <c r="P8" s="59"/>
      <c r="Q8" s="44"/>
      <c r="R8" s="44"/>
      <c r="S8" s="28"/>
    </row>
    <row r="9" spans="2:21" x14ac:dyDescent="0.35">
      <c r="B9" s="27"/>
      <c r="C9" s="20" t="s">
        <v>18</v>
      </c>
      <c r="D9" s="33">
        <v>3</v>
      </c>
      <c r="E9" s="34">
        <v>8.6666666666666661</v>
      </c>
      <c r="F9" s="33">
        <v>3</v>
      </c>
      <c r="G9" s="35">
        <v>90.333333333333329</v>
      </c>
      <c r="H9" s="33">
        <v>4</v>
      </c>
      <c r="I9" s="24">
        <v>561.6</v>
      </c>
      <c r="J9" s="32">
        <v>3</v>
      </c>
      <c r="L9" s="27"/>
      <c r="M9" s="44"/>
      <c r="N9" s="58"/>
      <c r="O9" s="58"/>
      <c r="P9" s="59"/>
      <c r="Q9" s="44"/>
      <c r="R9" s="44"/>
      <c r="S9" s="28"/>
    </row>
    <row r="10" spans="2:21" x14ac:dyDescent="0.35">
      <c r="B10" s="27"/>
      <c r="C10" s="20" t="s">
        <v>23</v>
      </c>
      <c r="D10" s="33">
        <v>3</v>
      </c>
      <c r="E10" s="34">
        <v>8.8666666666666671</v>
      </c>
      <c r="F10" s="33">
        <v>1</v>
      </c>
      <c r="G10" s="35">
        <v>91</v>
      </c>
      <c r="H10" s="33">
        <v>3</v>
      </c>
      <c r="I10" s="24">
        <v>1035.94</v>
      </c>
      <c r="J10" s="32">
        <v>2</v>
      </c>
      <c r="L10" s="27"/>
      <c r="M10" s="44"/>
      <c r="N10" s="58"/>
      <c r="O10" s="58"/>
      <c r="P10" s="59"/>
      <c r="Q10" s="44"/>
      <c r="R10" s="44"/>
      <c r="S10" s="28"/>
    </row>
    <row r="11" spans="2:21" x14ac:dyDescent="0.35">
      <c r="B11" s="27"/>
      <c r="L11" s="27"/>
      <c r="M11" s="44"/>
      <c r="N11" s="58"/>
      <c r="O11" s="58"/>
      <c r="P11" s="59"/>
      <c r="Q11" s="44"/>
      <c r="R11" s="44"/>
      <c r="S11" s="28"/>
    </row>
    <row r="12" spans="2:21" x14ac:dyDescent="0.35">
      <c r="B12" s="27"/>
      <c r="C12" s="76" t="s">
        <v>323</v>
      </c>
      <c r="D12" s="77"/>
      <c r="E12" s="78"/>
      <c r="L12" s="27"/>
      <c r="M12" s="44"/>
      <c r="N12" s="58"/>
      <c r="O12" s="58"/>
      <c r="P12" s="59"/>
      <c r="Q12" s="44"/>
      <c r="R12" s="44"/>
      <c r="S12" s="28"/>
    </row>
    <row r="13" spans="2:21" x14ac:dyDescent="0.35">
      <c r="B13" s="27"/>
      <c r="C13" s="31" t="s">
        <v>324</v>
      </c>
      <c r="D13" s="31" t="s">
        <v>325</v>
      </c>
      <c r="E13" s="31" t="s">
        <v>326</v>
      </c>
      <c r="F13" s="25"/>
      <c r="G13" s="25"/>
      <c r="H13" s="25"/>
      <c r="I13" s="25"/>
      <c r="J13" s="25"/>
      <c r="L13" s="27"/>
      <c r="M13" s="44"/>
      <c r="N13" s="58"/>
      <c r="O13" s="58"/>
      <c r="P13" s="59"/>
      <c r="Q13" s="42"/>
      <c r="R13" s="42"/>
      <c r="S13" s="60"/>
      <c r="T13" s="42"/>
      <c r="U13" s="42"/>
    </row>
    <row r="14" spans="2:21" x14ac:dyDescent="0.35">
      <c r="B14" s="27"/>
      <c r="C14" s="36" t="s">
        <v>23</v>
      </c>
      <c r="D14" s="36" t="s">
        <v>112</v>
      </c>
      <c r="E14" s="36" t="s">
        <v>15</v>
      </c>
      <c r="L14" s="27"/>
      <c r="M14" s="44"/>
      <c r="N14" s="58"/>
      <c r="O14" s="58"/>
      <c r="P14" s="59"/>
      <c r="Q14" s="42"/>
      <c r="R14" s="42"/>
      <c r="S14" s="60"/>
      <c r="T14" s="42"/>
      <c r="U14" s="42"/>
    </row>
    <row r="15" spans="2:21" x14ac:dyDescent="0.35">
      <c r="B15" s="27"/>
      <c r="L15" s="27"/>
      <c r="M15" s="44"/>
      <c r="N15" s="58"/>
      <c r="O15" s="58"/>
      <c r="P15" s="59"/>
      <c r="Q15" s="42"/>
      <c r="R15" s="42"/>
      <c r="S15" s="60"/>
      <c r="T15" s="42"/>
      <c r="U15" s="42"/>
    </row>
    <row r="16" spans="2:21" x14ac:dyDescent="0.35">
      <c r="B16" s="27"/>
      <c r="L16" s="27"/>
      <c r="M16" s="20"/>
      <c r="N16" s="33" t="s">
        <v>327</v>
      </c>
      <c r="O16" s="33" t="s">
        <v>328</v>
      </c>
      <c r="P16" s="51" t="s">
        <v>329</v>
      </c>
      <c r="Q16" s="42"/>
      <c r="R16" s="42"/>
      <c r="S16" s="60"/>
      <c r="T16" s="42"/>
      <c r="U16" s="42"/>
    </row>
    <row r="17" spans="2:21" x14ac:dyDescent="0.35">
      <c r="B17" s="27"/>
      <c r="C17" s="75" t="s">
        <v>330</v>
      </c>
      <c r="D17" s="75"/>
      <c r="E17" s="75"/>
      <c r="F17" s="75"/>
      <c r="G17" s="75"/>
      <c r="H17" s="75"/>
      <c r="I17" s="75"/>
      <c r="J17" s="75"/>
      <c r="L17" s="27"/>
      <c r="M17" s="52" t="s">
        <v>262</v>
      </c>
      <c r="N17" s="35">
        <v>8.5500000000000007</v>
      </c>
      <c r="O17" s="35">
        <v>70.538461538461533</v>
      </c>
      <c r="P17" s="53">
        <v>256.35769230769233</v>
      </c>
      <c r="Q17" s="42"/>
      <c r="R17" s="42"/>
      <c r="S17" s="60"/>
      <c r="T17" s="42"/>
      <c r="U17" s="42"/>
    </row>
    <row r="18" spans="2:21" x14ac:dyDescent="0.35">
      <c r="B18" s="27"/>
      <c r="L18" s="27"/>
      <c r="M18" s="52" t="s">
        <v>267</v>
      </c>
      <c r="N18" s="35">
        <v>8.5037037037037049</v>
      </c>
      <c r="O18" s="35">
        <v>80.962962962962962</v>
      </c>
      <c r="P18" s="53">
        <v>255.27962962962965</v>
      </c>
      <c r="Q18" s="42"/>
      <c r="R18" s="42"/>
      <c r="S18" s="60"/>
      <c r="T18" s="42"/>
      <c r="U18" s="42"/>
    </row>
    <row r="19" spans="2:21" x14ac:dyDescent="0.35">
      <c r="B19" s="27"/>
      <c r="C19" s="71" t="s">
        <v>314</v>
      </c>
      <c r="D19" s="72"/>
      <c r="L19" s="27"/>
      <c r="M19" s="52" t="s">
        <v>278</v>
      </c>
      <c r="N19" s="35">
        <v>8.41</v>
      </c>
      <c r="O19" s="35">
        <v>89.8</v>
      </c>
      <c r="P19" s="53">
        <v>196.14400000000001</v>
      </c>
      <c r="Q19" s="42"/>
      <c r="R19" s="42"/>
      <c r="S19" s="60"/>
      <c r="T19" s="42"/>
      <c r="U19" s="42"/>
    </row>
    <row r="20" spans="2:21" x14ac:dyDescent="0.35">
      <c r="B20" s="27"/>
      <c r="C20" s="31" t="s">
        <v>311</v>
      </c>
      <c r="D20" s="37">
        <f>CORREL(Table2[[#All],[Gross Revenue (in Million)]],Table2[[#All],[Runtime (Minutes)]])</f>
        <v>0.11173828774583873</v>
      </c>
      <c r="L20" s="27"/>
      <c r="M20" s="52" t="s">
        <v>263</v>
      </c>
      <c r="N20" s="35">
        <v>8.4888888888888889</v>
      </c>
      <c r="O20" s="35">
        <v>74.888888888888886</v>
      </c>
      <c r="P20" s="53">
        <v>40.208888888888886</v>
      </c>
      <c r="Q20" s="46"/>
      <c r="R20" s="46"/>
      <c r="S20" s="60"/>
      <c r="T20" s="42"/>
      <c r="U20" s="42"/>
    </row>
    <row r="21" spans="2:21" x14ac:dyDescent="0.35">
      <c r="B21" s="27"/>
      <c r="C21" s="31" t="s">
        <v>312</v>
      </c>
      <c r="D21" s="37">
        <f>CORREL(Table2[[#All],[Gross Revenue (in Million)]],Table2[[#All],[Rating]])</f>
        <v>0.10495677648670104</v>
      </c>
      <c r="L21" s="27"/>
      <c r="M21" s="52" t="s">
        <v>281</v>
      </c>
      <c r="N21" s="35">
        <v>8.4166666666666679</v>
      </c>
      <c r="O21" s="35">
        <v>75.583333333333329</v>
      </c>
      <c r="P21" s="53">
        <v>101.80833333333334</v>
      </c>
      <c r="Q21" s="45"/>
      <c r="R21" s="45"/>
      <c r="S21" s="60"/>
      <c r="T21" s="42"/>
      <c r="U21" s="42"/>
    </row>
    <row r="22" spans="2:21" x14ac:dyDescent="0.35">
      <c r="B22" s="27"/>
      <c r="C22" s="31" t="s">
        <v>313</v>
      </c>
      <c r="D22" s="37">
        <f>CORREL(Table2[[#All],[Gross Revenue (in Million)]],Table2[[#All],[Metascore]])</f>
        <v>0.13122150310969619</v>
      </c>
      <c r="L22" s="27"/>
      <c r="M22" s="52" t="s">
        <v>261</v>
      </c>
      <c r="N22" s="35">
        <v>8.5640000000000001</v>
      </c>
      <c r="O22" s="35">
        <v>69.44</v>
      </c>
      <c r="P22" s="53">
        <v>76.578400000000002</v>
      </c>
      <c r="Q22" s="17"/>
      <c r="R22" s="17"/>
      <c r="S22" s="60"/>
      <c r="T22" s="43"/>
      <c r="U22" s="43"/>
    </row>
    <row r="23" spans="2:21" x14ac:dyDescent="0.35">
      <c r="B23" s="27"/>
      <c r="L23" s="27"/>
      <c r="M23" s="52" t="s">
        <v>10</v>
      </c>
      <c r="N23" s="35">
        <v>8.5237500000000015</v>
      </c>
      <c r="O23" s="35">
        <v>74.400000000000006</v>
      </c>
      <c r="P23" s="53">
        <v>100.16200000000001</v>
      </c>
      <c r="Q23" s="17"/>
      <c r="R23" s="17"/>
      <c r="S23" s="60"/>
      <c r="T23" s="43"/>
      <c r="U23" s="43"/>
    </row>
    <row r="24" spans="2:21" x14ac:dyDescent="0.35">
      <c r="B24" s="27"/>
      <c r="C24" s="71" t="s">
        <v>293</v>
      </c>
      <c r="D24" s="72"/>
      <c r="L24" s="27"/>
      <c r="M24" s="52" t="s">
        <v>280</v>
      </c>
      <c r="N24" s="35">
        <v>8.5333333333333332</v>
      </c>
      <c r="O24" s="35">
        <v>93.333333333333329</v>
      </c>
      <c r="P24" s="53">
        <v>77.956666666666663</v>
      </c>
      <c r="Q24" s="17"/>
      <c r="R24" s="17"/>
      <c r="S24" s="60"/>
      <c r="T24" s="42"/>
      <c r="U24" s="42"/>
    </row>
    <row r="25" spans="2:21" x14ac:dyDescent="0.35">
      <c r="B25" s="27"/>
      <c r="C25" s="31" t="s">
        <v>331</v>
      </c>
      <c r="D25" s="38">
        <v>3.6217349339498502E-2</v>
      </c>
      <c r="L25" s="27"/>
      <c r="M25" s="52" t="s">
        <v>272</v>
      </c>
      <c r="N25" s="35">
        <v>8.5333333333333332</v>
      </c>
      <c r="O25" s="35">
        <v>76.833333333333329</v>
      </c>
      <c r="P25" s="53">
        <v>177.36166666666668</v>
      </c>
      <c r="Q25" s="42"/>
      <c r="R25" s="42"/>
      <c r="S25" s="60"/>
      <c r="T25" s="42"/>
      <c r="U25" s="42"/>
    </row>
    <row r="26" spans="2:21" x14ac:dyDescent="0.35">
      <c r="B26" s="27"/>
      <c r="C26" s="39" t="s">
        <v>332</v>
      </c>
      <c r="D26" s="38">
        <v>8.6807021777698893E-3</v>
      </c>
      <c r="L26" s="27"/>
      <c r="M26" s="52" t="s">
        <v>284</v>
      </c>
      <c r="N26" s="35">
        <v>8.4</v>
      </c>
      <c r="O26" s="35">
        <v>94</v>
      </c>
      <c r="P26" s="53">
        <v>0</v>
      </c>
      <c r="Q26" s="45"/>
      <c r="R26" s="45"/>
      <c r="S26" s="61"/>
      <c r="T26" s="45"/>
      <c r="U26" s="45"/>
    </row>
    <row r="27" spans="2:21" x14ac:dyDescent="0.35">
      <c r="B27" s="27"/>
      <c r="L27" s="27"/>
      <c r="M27" s="52" t="s">
        <v>265</v>
      </c>
      <c r="N27" s="35">
        <v>8.5333333333333332</v>
      </c>
      <c r="O27" s="35">
        <v>84</v>
      </c>
      <c r="P27" s="53">
        <v>57.5</v>
      </c>
      <c r="Q27" s="17"/>
      <c r="R27" s="17"/>
      <c r="S27" s="62"/>
      <c r="T27" s="17"/>
      <c r="U27" s="17"/>
    </row>
    <row r="28" spans="2:21" x14ac:dyDescent="0.35">
      <c r="B28" s="27"/>
      <c r="C28" s="71" t="s">
        <v>292</v>
      </c>
      <c r="D28" s="72"/>
      <c r="L28" s="27"/>
      <c r="M28" s="52" t="s">
        <v>282</v>
      </c>
      <c r="N28" s="35">
        <v>8.4666666666666668</v>
      </c>
      <c r="O28" s="35">
        <v>84</v>
      </c>
      <c r="P28" s="53">
        <v>51.64</v>
      </c>
      <c r="Q28" s="17"/>
      <c r="R28" s="17"/>
      <c r="S28" s="62"/>
      <c r="T28" s="17"/>
      <c r="U28" s="17"/>
    </row>
    <row r="29" spans="2:21" x14ac:dyDescent="0.35">
      <c r="B29" s="27"/>
      <c r="C29" s="31" t="s">
        <v>301</v>
      </c>
      <c r="D29" s="38">
        <v>0.27339740164449899</v>
      </c>
      <c r="L29" s="27"/>
      <c r="M29" s="52" t="s">
        <v>283</v>
      </c>
      <c r="N29" s="35">
        <v>8.4666666666666668</v>
      </c>
      <c r="O29" s="35">
        <v>87.333333333333329</v>
      </c>
      <c r="P29" s="53">
        <v>32.543333333333337</v>
      </c>
      <c r="Q29" s="17"/>
      <c r="R29" s="17"/>
      <c r="S29" s="62"/>
      <c r="T29" s="17"/>
      <c r="U29" s="17"/>
    </row>
    <row r="30" spans="2:21" x14ac:dyDescent="0.35">
      <c r="B30" s="27"/>
      <c r="L30" s="27"/>
      <c r="M30" s="52" t="s">
        <v>273</v>
      </c>
      <c r="N30" s="35">
        <v>8.4533333333333331</v>
      </c>
      <c r="O30" s="35">
        <v>78.599999999999994</v>
      </c>
      <c r="P30" s="53">
        <v>25.638000000000005</v>
      </c>
      <c r="Q30" s="17"/>
      <c r="R30" s="17"/>
      <c r="S30" s="62"/>
      <c r="T30" s="17"/>
      <c r="U30" s="17"/>
    </row>
    <row r="31" spans="2:21" x14ac:dyDescent="0.35">
      <c r="B31" s="27"/>
      <c r="C31" s="40"/>
      <c r="D31" s="40" t="s">
        <v>302</v>
      </c>
      <c r="E31" s="40" t="s">
        <v>304</v>
      </c>
      <c r="L31" s="27"/>
      <c r="M31" s="52" t="s">
        <v>270</v>
      </c>
      <c r="N31" s="35">
        <v>8.4636363636363647</v>
      </c>
      <c r="O31" s="35">
        <v>76.727272727272734</v>
      </c>
      <c r="P31" s="53">
        <v>55.481818181818142</v>
      </c>
      <c r="Q31" s="42"/>
      <c r="R31" s="42"/>
      <c r="S31" s="60"/>
      <c r="T31" s="42"/>
      <c r="U31" s="42"/>
    </row>
    <row r="32" spans="2:21" x14ac:dyDescent="0.35">
      <c r="B32" s="27"/>
      <c r="C32" s="31" t="s">
        <v>296</v>
      </c>
      <c r="D32" s="38">
        <v>-370.54977036390562</v>
      </c>
      <c r="E32" s="38">
        <v>0.57332325750014079</v>
      </c>
      <c r="I32" s="41"/>
      <c r="J32" s="41"/>
      <c r="K32" s="42"/>
      <c r="L32" s="54"/>
      <c r="M32" s="52" t="s">
        <v>269</v>
      </c>
      <c r="N32" s="35">
        <v>8.5</v>
      </c>
      <c r="O32" s="35">
        <v>78.333333333333329</v>
      </c>
      <c r="P32" s="53">
        <v>171.755</v>
      </c>
      <c r="Q32" s="42"/>
      <c r="R32" s="42"/>
      <c r="S32" s="60"/>
    </row>
    <row r="33" spans="2:19" x14ac:dyDescent="0.35">
      <c r="B33" s="27"/>
      <c r="C33" s="31" t="s">
        <v>3</v>
      </c>
      <c r="D33" s="38">
        <v>0.624647674873546</v>
      </c>
      <c r="E33" s="38">
        <v>0.25359326156424028</v>
      </c>
      <c r="I33" s="41"/>
      <c r="J33" s="41"/>
      <c r="K33" s="42"/>
      <c r="L33" s="54"/>
      <c r="M33" s="52" t="s">
        <v>276</v>
      </c>
      <c r="N33" s="35">
        <v>8.430769230769231</v>
      </c>
      <c r="O33" s="35">
        <v>73.384615384615387</v>
      </c>
      <c r="P33" s="53">
        <v>93.207692307692298</v>
      </c>
      <c r="Q33" s="42"/>
      <c r="R33" s="42"/>
      <c r="S33" s="60"/>
    </row>
    <row r="34" spans="2:19" x14ac:dyDescent="0.35">
      <c r="B34" s="27"/>
      <c r="C34" s="31" t="s">
        <v>5</v>
      </c>
      <c r="D34" s="38">
        <v>38.547518740629187</v>
      </c>
      <c r="E34" s="38">
        <v>0.63227035759902628</v>
      </c>
      <c r="K34" s="42"/>
      <c r="L34" s="54"/>
      <c r="M34" s="52" t="s">
        <v>275</v>
      </c>
      <c r="N34" s="35">
        <v>8.418181818181818</v>
      </c>
      <c r="O34" s="35">
        <v>72.63636363636364</v>
      </c>
      <c r="P34" s="53">
        <v>43.635454545454564</v>
      </c>
      <c r="Q34" s="42"/>
      <c r="R34" s="42"/>
      <c r="S34" s="60"/>
    </row>
    <row r="35" spans="2:19" ht="15" customHeight="1" x14ac:dyDescent="0.35">
      <c r="B35" s="27"/>
      <c r="C35" s="31" t="s">
        <v>6</v>
      </c>
      <c r="D35" s="38">
        <v>0.93202743480571559</v>
      </c>
      <c r="E35" s="38">
        <v>0.16759261225088651</v>
      </c>
      <c r="K35" s="43"/>
      <c r="L35" s="55"/>
      <c r="M35" s="52" t="s">
        <v>121</v>
      </c>
      <c r="N35" s="35">
        <v>8.5666666666666664</v>
      </c>
      <c r="O35" s="35">
        <v>84.333333333333329</v>
      </c>
      <c r="P35" s="53">
        <v>58.076666666666668</v>
      </c>
      <c r="Q35" s="42"/>
      <c r="R35" s="42"/>
      <c r="S35" s="60"/>
    </row>
    <row r="36" spans="2:19" x14ac:dyDescent="0.35">
      <c r="B36" s="27"/>
      <c r="K36" s="42"/>
      <c r="L36" s="54"/>
      <c r="M36" s="43"/>
      <c r="N36" s="50"/>
      <c r="O36" s="50"/>
      <c r="P36" s="49"/>
      <c r="Q36" s="43"/>
      <c r="R36" s="43"/>
      <c r="S36" s="60"/>
    </row>
    <row r="37" spans="2:19" x14ac:dyDescent="0.35">
      <c r="B37" s="27"/>
      <c r="K37" s="42"/>
      <c r="L37" s="54"/>
      <c r="M37" s="43"/>
      <c r="N37" s="50"/>
      <c r="O37" s="50"/>
      <c r="P37" s="49"/>
      <c r="Q37" s="43"/>
      <c r="R37" s="43"/>
      <c r="S37" s="60"/>
    </row>
    <row r="38" spans="2:19" x14ac:dyDescent="0.35">
      <c r="B38" s="27"/>
      <c r="K38" s="42"/>
      <c r="L38" s="54"/>
      <c r="M38" s="43"/>
      <c r="N38" s="50"/>
      <c r="O38" s="50"/>
      <c r="P38" s="49"/>
      <c r="Q38" s="43"/>
      <c r="R38" s="43"/>
      <c r="S38" s="60"/>
    </row>
    <row r="39" spans="2:19" x14ac:dyDescent="0.35">
      <c r="B39" s="27"/>
      <c r="K39" s="42"/>
      <c r="L39" s="54"/>
      <c r="M39" s="42"/>
      <c r="N39" s="47"/>
      <c r="O39" s="47"/>
      <c r="P39" s="48"/>
      <c r="Q39" s="42"/>
      <c r="R39" s="42"/>
      <c r="S39" s="60"/>
    </row>
    <row r="40" spans="2:19" x14ac:dyDescent="0.35">
      <c r="B40" s="27"/>
      <c r="L40" s="27"/>
      <c r="M40" s="44"/>
      <c r="N40" s="58"/>
      <c r="O40" s="58"/>
      <c r="P40" s="59"/>
      <c r="Q40" s="44"/>
      <c r="R40" s="44"/>
      <c r="S40" s="28"/>
    </row>
    <row r="41" spans="2:19" x14ac:dyDescent="0.35">
      <c r="B41" s="27"/>
      <c r="L41" s="27"/>
      <c r="M41" s="44"/>
      <c r="N41" s="58"/>
      <c r="O41" s="58"/>
      <c r="P41" s="59"/>
      <c r="Q41" s="44"/>
      <c r="R41" s="44"/>
      <c r="S41" s="28"/>
    </row>
    <row r="42" spans="2:19" x14ac:dyDescent="0.35">
      <c r="B42" s="29"/>
      <c r="C42" s="30"/>
      <c r="D42" s="30"/>
      <c r="E42" s="30"/>
      <c r="F42" s="30"/>
      <c r="G42" s="30"/>
      <c r="H42" s="30"/>
      <c r="I42" s="30"/>
      <c r="J42" s="30"/>
      <c r="K42" s="30"/>
      <c r="L42" s="29"/>
      <c r="M42" s="30"/>
      <c r="N42" s="56"/>
      <c r="O42" s="56"/>
      <c r="P42" s="57"/>
      <c r="Q42" s="30"/>
      <c r="R42" s="30"/>
      <c r="S42" s="26"/>
    </row>
  </sheetData>
  <mergeCells count="7">
    <mergeCell ref="C28:D28"/>
    <mergeCell ref="M6:R6"/>
    <mergeCell ref="C6:J6"/>
    <mergeCell ref="C19:D19"/>
    <mergeCell ref="C12:E12"/>
    <mergeCell ref="C17:J17"/>
    <mergeCell ref="C24:D2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8444C3-6335-4836-8A44-D94DDC2AF8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Director_Performance</vt:lpstr>
      <vt:lpstr>Genre_Summary</vt:lpstr>
      <vt:lpstr>Gross_Success_Factors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Zaky Muqoddas</dc:creator>
  <cp:lastModifiedBy>Muhammad Zaky Muqoddas</cp:lastModifiedBy>
  <dcterms:created xsi:type="dcterms:W3CDTF">2025-10-09T09:27:59Z</dcterms:created>
  <dcterms:modified xsi:type="dcterms:W3CDTF">2026-02-07T11:21:18Z</dcterms:modified>
</cp:coreProperties>
</file>